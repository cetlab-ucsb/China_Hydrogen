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babylon\phd\haozheyang\Hydrogen\"/>
    </mc:Choice>
  </mc:AlternateContent>
  <bookViews>
    <workbookView xWindow="0" yWindow="0" windowWidth="15120" windowHeight="9570" tabRatio="762" firstSheet="1" activeTab="1"/>
  </bookViews>
  <sheets>
    <sheet name="moderate_hydrogen_high_ccs" sheetId="31" r:id="rId1"/>
    <sheet name="moderate_hydrogen" sheetId="3" r:id="rId2"/>
    <sheet name="advance_hydrogen" sheetId="5" r:id="rId3"/>
    <sheet name="conservative_hydrogen" sheetId="16" r:id="rId4"/>
    <sheet name="High_cost_PV" sheetId="29" r:id="rId5"/>
    <sheet name="High_cost_wind" sheetId="30" r:id="rId6"/>
    <sheet name="High_cost_electrolyzer" sheetId="26" r:id="rId7"/>
    <sheet name="High_cost_fuel_cell" sheetId="27" r:id="rId8"/>
    <sheet name="High_cost_tank" sheetId="28" r:id="rId9"/>
    <sheet name="lifetime" sheetId="2" r:id="rId10"/>
    <sheet name="battery" sheetId="12" r:id="rId11"/>
    <sheet name="Solar" sheetId="8" r:id="rId12"/>
    <sheet name="offshore" sheetId="6" r:id="rId13"/>
    <sheet name="land" sheetId="7" r:id="rId14"/>
    <sheet name="nuclear" sheetId="9" r:id="rId15"/>
    <sheet name="coal" sheetId="10" r:id="rId16"/>
    <sheet name="gas" sheetId="11" r:id="rId17"/>
    <sheet name="hydro" sheetId="18" r:id="rId18"/>
    <sheet name="Electrolyzer" sheetId="20" r:id="rId19"/>
    <sheet name="SMR" sheetId="23" r:id="rId20"/>
    <sheet name="Fuel cell" sheetId="21" r:id="rId21"/>
    <sheet name="H2 turbine" sheetId="22" r:id="rId22"/>
    <sheet name="hydrogen storage" sheetId="19" r:id="rId23"/>
    <sheet name="ccs" sheetId="24" r:id="rId24"/>
    <sheet name="DAC" sheetId="25" r:id="rId25"/>
  </sheets>
  <definedNames>
    <definedName name="_xlnm._FilterDatabase" localSheetId="18" hidden="1">Electrolyzer!$D$2:$D$82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16" l="1"/>
  <c r="P4" i="16"/>
  <c r="P5" i="16"/>
  <c r="P6" i="16"/>
  <c r="P7" i="16"/>
  <c r="P8" i="16"/>
  <c r="P2" i="16"/>
  <c r="V3" i="3" l="1"/>
  <c r="V4" i="3"/>
  <c r="V5" i="3"/>
  <c r="V6" i="3"/>
  <c r="V7" i="3"/>
  <c r="V8" i="3"/>
  <c r="V2" i="3"/>
  <c r="V3" i="31"/>
  <c r="V4" i="31"/>
  <c r="V5" i="31"/>
  <c r="V6" i="31"/>
  <c r="V7" i="31"/>
  <c r="V8" i="31"/>
  <c r="V2" i="31"/>
  <c r="T3" i="31"/>
  <c r="T4" i="31"/>
  <c r="T5" i="31"/>
  <c r="T6" i="31"/>
  <c r="T7" i="31"/>
  <c r="T8" i="31"/>
  <c r="T2" i="31"/>
  <c r="Z8" i="5" l="1"/>
  <c r="Z8" i="16"/>
  <c r="B28" i="19"/>
  <c r="B27" i="19"/>
  <c r="B16" i="19"/>
  <c r="B17" i="19"/>
  <c r="AA8" i="16" l="1"/>
  <c r="X8" i="16"/>
  <c r="W8" i="16"/>
  <c r="AA8" i="5"/>
  <c r="F15" i="19"/>
  <c r="E15" i="19"/>
  <c r="J9" i="19" l="1"/>
  <c r="D10" i="19"/>
  <c r="D9" i="19"/>
  <c r="X8" i="5"/>
  <c r="W8" i="5"/>
  <c r="B32" i="20"/>
  <c r="AE8" i="16"/>
  <c r="AD8" i="16"/>
  <c r="AB8" i="16"/>
  <c r="AC8" i="16" s="1"/>
  <c r="Y8" i="16"/>
  <c r="V8" i="16"/>
  <c r="U8" i="16"/>
  <c r="T8" i="16"/>
  <c r="S8" i="16"/>
  <c r="R8" i="16"/>
  <c r="Q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B8" i="16"/>
  <c r="AE7" i="16"/>
  <c r="AD7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B7" i="16"/>
  <c r="AE6" i="16"/>
  <c r="AD6" i="16"/>
  <c r="AB6" i="16"/>
  <c r="AC6" i="16" s="1"/>
  <c r="AA6" i="16"/>
  <c r="Z6" i="16"/>
  <c r="Y6" i="16"/>
  <c r="X6" i="16"/>
  <c r="W6" i="16"/>
  <c r="V6" i="16"/>
  <c r="U6" i="16"/>
  <c r="T6" i="16"/>
  <c r="S6" i="16"/>
  <c r="R6" i="16"/>
  <c r="Q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B6" i="16"/>
  <c r="AE5" i="16"/>
  <c r="AA5" i="16"/>
  <c r="Z5" i="16"/>
  <c r="Y5" i="16"/>
  <c r="X5" i="16"/>
  <c r="W5" i="16"/>
  <c r="V5" i="16"/>
  <c r="U5" i="16"/>
  <c r="T5" i="16"/>
  <c r="S5" i="16"/>
  <c r="R5" i="16"/>
  <c r="Q5" i="16"/>
  <c r="O5" i="16"/>
  <c r="N5" i="16"/>
  <c r="M5" i="16"/>
  <c r="L5" i="16"/>
  <c r="K5" i="16"/>
  <c r="J5" i="16"/>
  <c r="I5" i="16"/>
  <c r="H5" i="16"/>
  <c r="G5" i="16"/>
  <c r="F5" i="16"/>
  <c r="E5" i="16"/>
  <c r="D5" i="16"/>
  <c r="C5" i="16"/>
  <c r="B5" i="16"/>
  <c r="AE4" i="16"/>
  <c r="AD4" i="16"/>
  <c r="AD5" i="16" s="1"/>
  <c r="AB4" i="16"/>
  <c r="AC4" i="16" s="1"/>
  <c r="AA4" i="16"/>
  <c r="Z4" i="16"/>
  <c r="Y4" i="16"/>
  <c r="X4" i="16"/>
  <c r="W4" i="16"/>
  <c r="V4" i="16"/>
  <c r="U4" i="16"/>
  <c r="T4" i="16"/>
  <c r="S4" i="16"/>
  <c r="R4" i="16"/>
  <c r="Q4" i="16"/>
  <c r="O4" i="16"/>
  <c r="N4" i="16"/>
  <c r="M4" i="16"/>
  <c r="L4" i="16"/>
  <c r="K4" i="16"/>
  <c r="J4" i="16"/>
  <c r="I4" i="16"/>
  <c r="H4" i="16"/>
  <c r="G4" i="16"/>
  <c r="F4" i="16"/>
  <c r="E4" i="16"/>
  <c r="D4" i="16"/>
  <c r="C4" i="16"/>
  <c r="B4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E2" i="16"/>
  <c r="AD2" i="16"/>
  <c r="AB2" i="16"/>
  <c r="AC2" i="16" s="1"/>
  <c r="AA2" i="16"/>
  <c r="Z2" i="16"/>
  <c r="Y2" i="16"/>
  <c r="X2" i="16"/>
  <c r="W2" i="16"/>
  <c r="V2" i="16"/>
  <c r="U2" i="16"/>
  <c r="T2" i="16"/>
  <c r="S2" i="16"/>
  <c r="R2" i="16"/>
  <c r="Q2" i="16"/>
  <c r="O2" i="16"/>
  <c r="N2" i="16"/>
  <c r="M2" i="16"/>
  <c r="L2" i="16"/>
  <c r="K2" i="16"/>
  <c r="J2" i="16"/>
  <c r="I2" i="16"/>
  <c r="H2" i="16"/>
  <c r="G2" i="16"/>
  <c r="F2" i="16"/>
  <c r="E2" i="16"/>
  <c r="D2" i="16"/>
  <c r="C2" i="16"/>
  <c r="B2" i="16"/>
  <c r="AE8" i="5"/>
  <c r="AD8" i="5"/>
  <c r="AB8" i="5"/>
  <c r="AC8" i="5" s="1"/>
  <c r="Y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E7" i="5"/>
  <c r="AD7" i="5"/>
  <c r="AB7" i="5"/>
  <c r="AC7" i="5" s="1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E6" i="5"/>
  <c r="AD6" i="5"/>
  <c r="AB6" i="5"/>
  <c r="AC6" i="5" s="1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E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E4" i="5"/>
  <c r="AD4" i="5"/>
  <c r="AD5" i="5" s="1"/>
  <c r="AB4" i="5"/>
  <c r="AC4" i="5" s="1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E3" i="5"/>
  <c r="AD3" i="5"/>
  <c r="AB3" i="5"/>
  <c r="AC3" i="5" s="1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AE2" i="5"/>
  <c r="AD2" i="5"/>
  <c r="AB2" i="5"/>
  <c r="AC2" i="5" s="1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AB5" i="16" l="1"/>
  <c r="AC5" i="16" s="1"/>
  <c r="AB5" i="5"/>
  <c r="AC5" i="5" s="1"/>
  <c r="AE3" i="31"/>
  <c r="AE4" i="31"/>
  <c r="AE5" i="31"/>
  <c r="AE6" i="31"/>
  <c r="AE7" i="31"/>
  <c r="AE8" i="31"/>
  <c r="AE2" i="31"/>
  <c r="AD3" i="31"/>
  <c r="AD4" i="31"/>
  <c r="AD5" i="31"/>
  <c r="AD6" i="31"/>
  <c r="AD7" i="31"/>
  <c r="AD8" i="31"/>
  <c r="AB3" i="31"/>
  <c r="AB4" i="31"/>
  <c r="AB5" i="31"/>
  <c r="AB6" i="31"/>
  <c r="AC6" i="31" s="1"/>
  <c r="AB7" i="31"/>
  <c r="AC7" i="31" s="1"/>
  <c r="AB8" i="31"/>
  <c r="O3" i="31"/>
  <c r="O4" i="31"/>
  <c r="O5" i="31"/>
  <c r="O6" i="31"/>
  <c r="O7" i="31"/>
  <c r="O8" i="31"/>
  <c r="O2" i="31"/>
  <c r="M3" i="31"/>
  <c r="M4" i="31"/>
  <c r="M5" i="31"/>
  <c r="M6" i="31"/>
  <c r="M7" i="31"/>
  <c r="M8" i="31"/>
  <c r="M2" i="31"/>
  <c r="I3" i="31"/>
  <c r="I4" i="31"/>
  <c r="I5" i="31"/>
  <c r="I6" i="31"/>
  <c r="I7" i="31"/>
  <c r="I8" i="31"/>
  <c r="I2" i="31"/>
  <c r="G3" i="31"/>
  <c r="G4" i="31"/>
  <c r="G5" i="31"/>
  <c r="G6" i="31"/>
  <c r="G7" i="31"/>
  <c r="G8" i="31"/>
  <c r="G2" i="31"/>
  <c r="AC8" i="31"/>
  <c r="AA8" i="31"/>
  <c r="Z8" i="31"/>
  <c r="Y8" i="31"/>
  <c r="X8" i="31"/>
  <c r="W8" i="31"/>
  <c r="U8" i="31"/>
  <c r="S8" i="31"/>
  <c r="R8" i="31"/>
  <c r="Q8" i="31"/>
  <c r="P8" i="31"/>
  <c r="N8" i="31"/>
  <c r="L8" i="31"/>
  <c r="K8" i="31"/>
  <c r="J8" i="31"/>
  <c r="H8" i="31"/>
  <c r="F8" i="31"/>
  <c r="E8" i="31"/>
  <c r="D8" i="31"/>
  <c r="C8" i="31"/>
  <c r="B8" i="31"/>
  <c r="AA7" i="31"/>
  <c r="Z7" i="31"/>
  <c r="Y7" i="31"/>
  <c r="X7" i="31"/>
  <c r="W7" i="31"/>
  <c r="U7" i="31"/>
  <c r="S7" i="31"/>
  <c r="R7" i="31"/>
  <c r="Q7" i="31"/>
  <c r="P7" i="31"/>
  <c r="N7" i="31"/>
  <c r="L7" i="31"/>
  <c r="K7" i="31"/>
  <c r="J7" i="31"/>
  <c r="H7" i="31"/>
  <c r="F7" i="31"/>
  <c r="E7" i="31"/>
  <c r="D7" i="31"/>
  <c r="C7" i="31"/>
  <c r="B7" i="31"/>
  <c r="AA6" i="31"/>
  <c r="Z6" i="31"/>
  <c r="Y6" i="31"/>
  <c r="X6" i="31"/>
  <c r="W6" i="31"/>
  <c r="U6" i="31"/>
  <c r="S6" i="31"/>
  <c r="R6" i="31"/>
  <c r="Q6" i="31"/>
  <c r="P6" i="31"/>
  <c r="N6" i="31"/>
  <c r="L6" i="31"/>
  <c r="K6" i="31"/>
  <c r="J6" i="31"/>
  <c r="H6" i="31"/>
  <c r="F6" i="31"/>
  <c r="E6" i="31"/>
  <c r="D6" i="31"/>
  <c r="C6" i="31"/>
  <c r="B6" i="31"/>
  <c r="AA5" i="31"/>
  <c r="Z5" i="31"/>
  <c r="Y5" i="31"/>
  <c r="X5" i="31"/>
  <c r="W5" i="31"/>
  <c r="U5" i="31"/>
  <c r="S5" i="31"/>
  <c r="R5" i="31"/>
  <c r="Q5" i="31"/>
  <c r="P5" i="31"/>
  <c r="N5" i="31"/>
  <c r="L5" i="31"/>
  <c r="K5" i="31"/>
  <c r="J5" i="31"/>
  <c r="H5" i="31"/>
  <c r="F5" i="31"/>
  <c r="E5" i="31"/>
  <c r="D5" i="31"/>
  <c r="C5" i="31"/>
  <c r="B5" i="31"/>
  <c r="AC4" i="31"/>
  <c r="AA4" i="31"/>
  <c r="Z4" i="31"/>
  <c r="Y4" i="31"/>
  <c r="X4" i="31"/>
  <c r="W4" i="31"/>
  <c r="U4" i="31"/>
  <c r="S4" i="31"/>
  <c r="R4" i="31"/>
  <c r="Q4" i="31"/>
  <c r="P4" i="31"/>
  <c r="N4" i="31"/>
  <c r="L4" i="31"/>
  <c r="K4" i="31"/>
  <c r="J4" i="31"/>
  <c r="H4" i="31"/>
  <c r="F4" i="31"/>
  <c r="E4" i="31"/>
  <c r="D4" i="31"/>
  <c r="C4" i="31"/>
  <c r="B4" i="31"/>
  <c r="AC3" i="31"/>
  <c r="AA3" i="31"/>
  <c r="Z3" i="31"/>
  <c r="Y3" i="31"/>
  <c r="X3" i="31"/>
  <c r="W3" i="31"/>
  <c r="U3" i="31"/>
  <c r="S3" i="31"/>
  <c r="R3" i="31"/>
  <c r="Q3" i="31"/>
  <c r="P3" i="31"/>
  <c r="N3" i="31"/>
  <c r="L3" i="31"/>
  <c r="K3" i="31"/>
  <c r="J3" i="31"/>
  <c r="H3" i="31"/>
  <c r="F3" i="31"/>
  <c r="E3" i="31"/>
  <c r="D3" i="31"/>
  <c r="C3" i="31"/>
  <c r="B3" i="31"/>
  <c r="AD2" i="31"/>
  <c r="AB2" i="31"/>
  <c r="AC2" i="31" s="1"/>
  <c r="AA2" i="31"/>
  <c r="Z2" i="31"/>
  <c r="Y2" i="31"/>
  <c r="X2" i="31"/>
  <c r="W2" i="31"/>
  <c r="U2" i="31"/>
  <c r="S2" i="31"/>
  <c r="R2" i="31"/>
  <c r="Q2" i="31"/>
  <c r="P2" i="31"/>
  <c r="N2" i="31"/>
  <c r="L2" i="31"/>
  <c r="K2" i="31"/>
  <c r="J2" i="31"/>
  <c r="H2" i="31"/>
  <c r="F2" i="31"/>
  <c r="E2" i="31"/>
  <c r="D2" i="31"/>
  <c r="C2" i="31"/>
  <c r="B2" i="31"/>
  <c r="AC5" i="31" l="1"/>
  <c r="H11" i="25"/>
  <c r="T3" i="3" l="1"/>
  <c r="T4" i="3"/>
  <c r="T5" i="3"/>
  <c r="T6" i="3"/>
  <c r="T7" i="3"/>
  <c r="T8" i="3"/>
  <c r="T2" i="3"/>
  <c r="G3" i="3"/>
  <c r="G4" i="3"/>
  <c r="G5" i="3"/>
  <c r="G6" i="3"/>
  <c r="G7" i="3"/>
  <c r="G8" i="3"/>
  <c r="G2" i="3"/>
  <c r="I3" i="3"/>
  <c r="I4" i="3"/>
  <c r="I5" i="3"/>
  <c r="I6" i="3"/>
  <c r="I7" i="3"/>
  <c r="I8" i="3"/>
  <c r="I2" i="3"/>
  <c r="O3" i="3"/>
  <c r="O4" i="3"/>
  <c r="O5" i="3"/>
  <c r="O6" i="3"/>
  <c r="O7" i="3"/>
  <c r="O8" i="3"/>
  <c r="O2" i="3"/>
  <c r="AE3" i="3"/>
  <c r="AE4" i="3"/>
  <c r="AE5" i="3"/>
  <c r="AE6" i="3"/>
  <c r="AE7" i="3"/>
  <c r="AE8" i="3"/>
  <c r="AE2" i="3"/>
  <c r="M3" i="3"/>
  <c r="M4" i="3"/>
  <c r="M5" i="3"/>
  <c r="M6" i="3"/>
  <c r="M7" i="3"/>
  <c r="M8" i="3"/>
  <c r="M2" i="3"/>
  <c r="E8" i="30" l="1"/>
  <c r="D8" i="30"/>
  <c r="E7" i="30"/>
  <c r="D7" i="30"/>
  <c r="E6" i="30"/>
  <c r="D6" i="30"/>
  <c r="E5" i="30"/>
  <c r="D5" i="30"/>
  <c r="E4" i="30"/>
  <c r="D4" i="30"/>
  <c r="E3" i="30"/>
  <c r="D3" i="30"/>
  <c r="E2" i="30"/>
  <c r="D2" i="30"/>
  <c r="AE8" i="30"/>
  <c r="AD8" i="30"/>
  <c r="AB8" i="30"/>
  <c r="AC8" i="30" s="1"/>
  <c r="AA8" i="30"/>
  <c r="Y8" i="30"/>
  <c r="V8" i="30"/>
  <c r="U8" i="30"/>
  <c r="T8" i="30"/>
  <c r="S8" i="30"/>
  <c r="R8" i="30"/>
  <c r="Q8" i="30"/>
  <c r="P8" i="30"/>
  <c r="O8" i="30"/>
  <c r="N8" i="30"/>
  <c r="M8" i="30"/>
  <c r="L8" i="30"/>
  <c r="I8" i="30"/>
  <c r="H8" i="30"/>
  <c r="G8" i="30"/>
  <c r="F8" i="30"/>
  <c r="C8" i="30"/>
  <c r="B8" i="30"/>
  <c r="AE7" i="30"/>
  <c r="AD7" i="30"/>
  <c r="AC7" i="30"/>
  <c r="AB7" i="30"/>
  <c r="AA7" i="30"/>
  <c r="Y7" i="30"/>
  <c r="V7" i="30"/>
  <c r="U7" i="30"/>
  <c r="T7" i="30"/>
  <c r="S7" i="30"/>
  <c r="R7" i="30"/>
  <c r="Q7" i="30"/>
  <c r="P7" i="30"/>
  <c r="O7" i="30"/>
  <c r="N7" i="30"/>
  <c r="M7" i="30"/>
  <c r="L7" i="30"/>
  <c r="I7" i="30"/>
  <c r="H7" i="30"/>
  <c r="G7" i="30"/>
  <c r="F7" i="30"/>
  <c r="C7" i="30"/>
  <c r="B7" i="30"/>
  <c r="AE6" i="30"/>
  <c r="AD6" i="30"/>
  <c r="AB6" i="30"/>
  <c r="AC6" i="30" s="1"/>
  <c r="AA6" i="30"/>
  <c r="Y6" i="30"/>
  <c r="V6" i="30"/>
  <c r="U6" i="30"/>
  <c r="T6" i="30"/>
  <c r="S6" i="30"/>
  <c r="R6" i="30"/>
  <c r="Q6" i="30"/>
  <c r="P6" i="30"/>
  <c r="O6" i="30"/>
  <c r="N6" i="30"/>
  <c r="M6" i="30"/>
  <c r="L6" i="30"/>
  <c r="I6" i="30"/>
  <c r="H6" i="30"/>
  <c r="G6" i="30"/>
  <c r="F6" i="30"/>
  <c r="C6" i="30"/>
  <c r="B6" i="30"/>
  <c r="AE5" i="30"/>
  <c r="AA5" i="30"/>
  <c r="Y5" i="30"/>
  <c r="V5" i="30"/>
  <c r="U5" i="30"/>
  <c r="T5" i="30"/>
  <c r="S5" i="30"/>
  <c r="R5" i="30"/>
  <c r="Q5" i="30"/>
  <c r="P5" i="30"/>
  <c r="O5" i="30"/>
  <c r="N5" i="30"/>
  <c r="M5" i="30"/>
  <c r="L5" i="30"/>
  <c r="I5" i="30"/>
  <c r="H5" i="30"/>
  <c r="G5" i="30"/>
  <c r="F5" i="30"/>
  <c r="C5" i="30"/>
  <c r="B5" i="30"/>
  <c r="AE4" i="30"/>
  <c r="AD4" i="30"/>
  <c r="AD5" i="30" s="1"/>
  <c r="AB4" i="30"/>
  <c r="AB5" i="30" s="1"/>
  <c r="AC5" i="30" s="1"/>
  <c r="AA4" i="30"/>
  <c r="Y4" i="30"/>
  <c r="V4" i="30"/>
  <c r="U4" i="30"/>
  <c r="T4" i="30"/>
  <c r="S4" i="30"/>
  <c r="R4" i="30"/>
  <c r="Q4" i="30"/>
  <c r="P4" i="30"/>
  <c r="O4" i="30"/>
  <c r="N4" i="30"/>
  <c r="M4" i="30"/>
  <c r="L4" i="30"/>
  <c r="I4" i="30"/>
  <c r="H4" i="30"/>
  <c r="G4" i="30"/>
  <c r="F4" i="30"/>
  <c r="C4" i="30"/>
  <c r="B4" i="30"/>
  <c r="AE3" i="30"/>
  <c r="AD3" i="30"/>
  <c r="AC3" i="30"/>
  <c r="AB3" i="30"/>
  <c r="AA3" i="30"/>
  <c r="Y3" i="30"/>
  <c r="V3" i="30"/>
  <c r="U3" i="30"/>
  <c r="T3" i="30"/>
  <c r="S3" i="30"/>
  <c r="R3" i="30"/>
  <c r="Q3" i="30"/>
  <c r="P3" i="30"/>
  <c r="O3" i="30"/>
  <c r="N3" i="30"/>
  <c r="M3" i="30"/>
  <c r="L3" i="30"/>
  <c r="I3" i="30"/>
  <c r="H3" i="30"/>
  <c r="G3" i="30"/>
  <c r="F3" i="30"/>
  <c r="C3" i="30"/>
  <c r="B3" i="30"/>
  <c r="AE2" i="30"/>
  <c r="AD2" i="30"/>
  <c r="AB2" i="30"/>
  <c r="AC2" i="30" s="1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C2" i="30"/>
  <c r="B2" i="30"/>
  <c r="AE8" i="29"/>
  <c r="AD8" i="29"/>
  <c r="AB8" i="29"/>
  <c r="AC8" i="29" s="1"/>
  <c r="AA8" i="29"/>
  <c r="Y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C8" i="29"/>
  <c r="B8" i="29"/>
  <c r="AE7" i="29"/>
  <c r="AD7" i="29"/>
  <c r="AB7" i="29"/>
  <c r="AC7" i="29" s="1"/>
  <c r="AA7" i="29"/>
  <c r="Y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C7" i="29"/>
  <c r="B7" i="29"/>
  <c r="AE6" i="29"/>
  <c r="AD6" i="29"/>
  <c r="AB6" i="29"/>
  <c r="AC6" i="29" s="1"/>
  <c r="AA6" i="29"/>
  <c r="Y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C6" i="29"/>
  <c r="B6" i="29"/>
  <c r="AE5" i="29"/>
  <c r="AA5" i="29"/>
  <c r="Y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C5" i="29"/>
  <c r="B5" i="29"/>
  <c r="AE4" i="29"/>
  <c r="AD4" i="29"/>
  <c r="AD5" i="29" s="1"/>
  <c r="AB4" i="29"/>
  <c r="AB5" i="29" s="1"/>
  <c r="AC5" i="29" s="1"/>
  <c r="AA4" i="29"/>
  <c r="Y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C4" i="29"/>
  <c r="B4" i="29"/>
  <c r="AE3" i="29"/>
  <c r="AD3" i="29"/>
  <c r="AC3" i="29"/>
  <c r="AB3" i="29"/>
  <c r="AA3" i="29"/>
  <c r="Y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C3" i="29"/>
  <c r="B3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29"/>
  <c r="AE8" i="28"/>
  <c r="AD8" i="28"/>
  <c r="AB8" i="28"/>
  <c r="AC8" i="28" s="1"/>
  <c r="AA8" i="28"/>
  <c r="Y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B8" i="28"/>
  <c r="AE7" i="28"/>
  <c r="AD7" i="28"/>
  <c r="AC7" i="28"/>
  <c r="AB7" i="28"/>
  <c r="AA7" i="28"/>
  <c r="Y7" i="28"/>
  <c r="V7" i="28"/>
  <c r="U7" i="28"/>
  <c r="T7" i="28"/>
  <c r="S7" i="28"/>
  <c r="R7" i="28"/>
  <c r="Q7" i="28"/>
  <c r="P7" i="28"/>
  <c r="O7" i="28"/>
  <c r="N7" i="28"/>
  <c r="M7" i="28"/>
  <c r="L7" i="28"/>
  <c r="K7" i="28"/>
  <c r="J7" i="28"/>
  <c r="I7" i="28"/>
  <c r="H7" i="28"/>
  <c r="G7" i="28"/>
  <c r="F7" i="28"/>
  <c r="E7" i="28"/>
  <c r="D7" i="28"/>
  <c r="C7" i="28"/>
  <c r="B7" i="28"/>
  <c r="AE6" i="28"/>
  <c r="AD6" i="28"/>
  <c r="AB6" i="28"/>
  <c r="AC6" i="28" s="1"/>
  <c r="AA6" i="28"/>
  <c r="Y6" i="28"/>
  <c r="V6" i="28"/>
  <c r="U6" i="28"/>
  <c r="T6" i="28"/>
  <c r="S6" i="28"/>
  <c r="R6" i="28"/>
  <c r="Q6" i="28"/>
  <c r="P6" i="28"/>
  <c r="O6" i="28"/>
  <c r="N6" i="28"/>
  <c r="M6" i="28"/>
  <c r="L6" i="28"/>
  <c r="K6" i="28"/>
  <c r="J6" i="28"/>
  <c r="I6" i="28"/>
  <c r="H6" i="28"/>
  <c r="G6" i="28"/>
  <c r="F6" i="28"/>
  <c r="E6" i="28"/>
  <c r="D6" i="28"/>
  <c r="C6" i="28"/>
  <c r="B6" i="28"/>
  <c r="AE5" i="28"/>
  <c r="AD5" i="28"/>
  <c r="AA5" i="28"/>
  <c r="Y5" i="28"/>
  <c r="V5" i="28"/>
  <c r="U5" i="28"/>
  <c r="T5" i="28"/>
  <c r="S5" i="28"/>
  <c r="R5" i="28"/>
  <c r="Q5" i="28"/>
  <c r="P5" i="28"/>
  <c r="O5" i="28"/>
  <c r="N5" i="28"/>
  <c r="M5" i="28"/>
  <c r="L5" i="28"/>
  <c r="K5" i="28"/>
  <c r="J5" i="28"/>
  <c r="I5" i="28"/>
  <c r="H5" i="28"/>
  <c r="G5" i="28"/>
  <c r="F5" i="28"/>
  <c r="E5" i="28"/>
  <c r="D5" i="28"/>
  <c r="C5" i="28"/>
  <c r="B5" i="28"/>
  <c r="AE4" i="28"/>
  <c r="AD4" i="28"/>
  <c r="AB4" i="28"/>
  <c r="AC4" i="28" s="1"/>
  <c r="AA4" i="28"/>
  <c r="Y4" i="28"/>
  <c r="V4" i="28"/>
  <c r="U4" i="28"/>
  <c r="T4" i="28"/>
  <c r="S4" i="28"/>
  <c r="R4" i="28"/>
  <c r="Q4" i="28"/>
  <c r="P4" i="28"/>
  <c r="O4" i="28"/>
  <c r="N4" i="28"/>
  <c r="M4" i="28"/>
  <c r="L4" i="28"/>
  <c r="K4" i="28"/>
  <c r="J4" i="28"/>
  <c r="I4" i="28"/>
  <c r="H4" i="28"/>
  <c r="G4" i="28"/>
  <c r="F4" i="28"/>
  <c r="E4" i="28"/>
  <c r="D4" i="28"/>
  <c r="C4" i="28"/>
  <c r="B4" i="28"/>
  <c r="AE3" i="28"/>
  <c r="AD3" i="28"/>
  <c r="AC3" i="28"/>
  <c r="AB3" i="28"/>
  <c r="AA3" i="28"/>
  <c r="Y3" i="28"/>
  <c r="V3" i="28"/>
  <c r="U3" i="28"/>
  <c r="T3" i="28"/>
  <c r="S3" i="28"/>
  <c r="R3" i="28"/>
  <c r="Q3" i="28"/>
  <c r="P3" i="28"/>
  <c r="O3" i="28"/>
  <c r="N3" i="28"/>
  <c r="M3" i="28"/>
  <c r="L3" i="28"/>
  <c r="K3" i="28"/>
  <c r="J3" i="28"/>
  <c r="I3" i="28"/>
  <c r="H3" i="28"/>
  <c r="G3" i="28"/>
  <c r="F3" i="28"/>
  <c r="E3" i="28"/>
  <c r="D3" i="28"/>
  <c r="C3" i="28"/>
  <c r="B3" i="28"/>
  <c r="AE2" i="28"/>
  <c r="AD2" i="28"/>
  <c r="AB2" i="28"/>
  <c r="AC2" i="28" s="1"/>
  <c r="AA2" i="28"/>
  <c r="Z2" i="28"/>
  <c r="Y2" i="28"/>
  <c r="X2" i="28"/>
  <c r="W2" i="28"/>
  <c r="V2" i="28"/>
  <c r="U2" i="28"/>
  <c r="T2" i="28"/>
  <c r="S2" i="28"/>
  <c r="R2" i="28"/>
  <c r="Q2" i="28"/>
  <c r="P2" i="28"/>
  <c r="O2" i="28"/>
  <c r="N2" i="28"/>
  <c r="M2" i="28"/>
  <c r="L2" i="28"/>
  <c r="K2" i="28"/>
  <c r="J2" i="28"/>
  <c r="I2" i="28"/>
  <c r="H2" i="28"/>
  <c r="G2" i="28"/>
  <c r="F2" i="28"/>
  <c r="E2" i="28"/>
  <c r="D2" i="28"/>
  <c r="C2" i="28"/>
  <c r="B2" i="28"/>
  <c r="W8" i="26"/>
  <c r="W7" i="26"/>
  <c r="W6" i="26"/>
  <c r="W5" i="26"/>
  <c r="W4" i="26"/>
  <c r="W3" i="26"/>
  <c r="W2" i="26"/>
  <c r="AE8" i="27"/>
  <c r="AD8" i="27"/>
  <c r="AB8" i="27"/>
  <c r="AC8" i="27" s="1"/>
  <c r="AA8" i="27"/>
  <c r="Z8" i="27"/>
  <c r="Y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H8" i="27"/>
  <c r="G8" i="27"/>
  <c r="F8" i="27"/>
  <c r="E8" i="27"/>
  <c r="D8" i="27"/>
  <c r="C8" i="27"/>
  <c r="B8" i="27"/>
  <c r="AE7" i="27"/>
  <c r="AD7" i="27"/>
  <c r="AC7" i="27"/>
  <c r="AB7" i="27"/>
  <c r="AA7" i="27"/>
  <c r="Z7" i="27"/>
  <c r="Y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G7" i="27"/>
  <c r="F7" i="27"/>
  <c r="E7" i="27"/>
  <c r="D7" i="27"/>
  <c r="C7" i="27"/>
  <c r="B7" i="27"/>
  <c r="AE6" i="27"/>
  <c r="AD6" i="27"/>
  <c r="AB6" i="27"/>
  <c r="AC6" i="27" s="1"/>
  <c r="AA6" i="27"/>
  <c r="Z6" i="27"/>
  <c r="Y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F6" i="27"/>
  <c r="E6" i="27"/>
  <c r="D6" i="27"/>
  <c r="C6" i="27"/>
  <c r="B6" i="27"/>
  <c r="AE5" i="27"/>
  <c r="AA5" i="27"/>
  <c r="Z5" i="27"/>
  <c r="Y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I5" i="27"/>
  <c r="H5" i="27"/>
  <c r="G5" i="27"/>
  <c r="F5" i="27"/>
  <c r="E5" i="27"/>
  <c r="D5" i="27"/>
  <c r="C5" i="27"/>
  <c r="B5" i="27"/>
  <c r="AE4" i="27"/>
  <c r="AD4" i="27"/>
  <c r="AD5" i="27" s="1"/>
  <c r="AB4" i="27"/>
  <c r="AB5" i="27" s="1"/>
  <c r="AC5" i="27" s="1"/>
  <c r="AA4" i="27"/>
  <c r="Z4" i="27"/>
  <c r="Y4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I4" i="27"/>
  <c r="H4" i="27"/>
  <c r="G4" i="27"/>
  <c r="F4" i="27"/>
  <c r="E4" i="27"/>
  <c r="D4" i="27"/>
  <c r="C4" i="27"/>
  <c r="B4" i="27"/>
  <c r="AE3" i="27"/>
  <c r="AD3" i="27"/>
  <c r="AC3" i="27"/>
  <c r="AB3" i="27"/>
  <c r="AA3" i="27"/>
  <c r="Z3" i="27"/>
  <c r="Y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E3" i="27"/>
  <c r="D3" i="27"/>
  <c r="C3" i="27"/>
  <c r="B3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E2" i="27"/>
  <c r="D2" i="27"/>
  <c r="C2" i="27"/>
  <c r="B2" i="27"/>
  <c r="AE8" i="26"/>
  <c r="AD8" i="26"/>
  <c r="AB8" i="26"/>
  <c r="AC8" i="26" s="1"/>
  <c r="AA8" i="26"/>
  <c r="Z8" i="26"/>
  <c r="Y8" i="26"/>
  <c r="X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B8" i="26"/>
  <c r="AE7" i="26"/>
  <c r="AD7" i="26"/>
  <c r="AB7" i="26"/>
  <c r="AC7" i="26" s="1"/>
  <c r="AA7" i="26"/>
  <c r="Z7" i="26"/>
  <c r="Y7" i="26"/>
  <c r="X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I7" i="26"/>
  <c r="H7" i="26"/>
  <c r="G7" i="26"/>
  <c r="F7" i="26"/>
  <c r="E7" i="26"/>
  <c r="D7" i="26"/>
  <c r="C7" i="26"/>
  <c r="B7" i="26"/>
  <c r="AE6" i="26"/>
  <c r="AD6" i="26"/>
  <c r="AB6" i="26"/>
  <c r="AC6" i="26" s="1"/>
  <c r="AA6" i="26"/>
  <c r="Z6" i="26"/>
  <c r="Y6" i="26"/>
  <c r="X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I6" i="26"/>
  <c r="H6" i="26"/>
  <c r="G6" i="26"/>
  <c r="F6" i="26"/>
  <c r="E6" i="26"/>
  <c r="D6" i="26"/>
  <c r="C6" i="26"/>
  <c r="B6" i="26"/>
  <c r="AE5" i="26"/>
  <c r="AA5" i="26"/>
  <c r="Z5" i="26"/>
  <c r="Y5" i="26"/>
  <c r="X5" i="26"/>
  <c r="V5" i="26"/>
  <c r="U5" i="26"/>
  <c r="T5" i="26"/>
  <c r="S5" i="26"/>
  <c r="R5" i="26"/>
  <c r="Q5" i="26"/>
  <c r="P5" i="26"/>
  <c r="O5" i="26"/>
  <c r="N5" i="26"/>
  <c r="M5" i="26"/>
  <c r="L5" i="26"/>
  <c r="K5" i="26"/>
  <c r="J5" i="26"/>
  <c r="I5" i="26"/>
  <c r="H5" i="26"/>
  <c r="G5" i="26"/>
  <c r="F5" i="26"/>
  <c r="E5" i="26"/>
  <c r="D5" i="26"/>
  <c r="C5" i="26"/>
  <c r="B5" i="26"/>
  <c r="AE4" i="26"/>
  <c r="AD4" i="26"/>
  <c r="AD5" i="26" s="1"/>
  <c r="AB4" i="26"/>
  <c r="AC4" i="26" s="1"/>
  <c r="AA4" i="26"/>
  <c r="Z4" i="26"/>
  <c r="Y4" i="26"/>
  <c r="X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B4" i="26"/>
  <c r="AE3" i="26"/>
  <c r="AD3" i="26"/>
  <c r="AB3" i="26"/>
  <c r="AC3" i="26" s="1"/>
  <c r="AA3" i="26"/>
  <c r="Z3" i="26"/>
  <c r="Y3" i="26"/>
  <c r="X3" i="26"/>
  <c r="V3" i="26"/>
  <c r="U3" i="26"/>
  <c r="T3" i="26"/>
  <c r="S3" i="26"/>
  <c r="R3" i="26"/>
  <c r="Q3" i="26"/>
  <c r="P3" i="26"/>
  <c r="O3" i="26"/>
  <c r="N3" i="26"/>
  <c r="M3" i="26"/>
  <c r="L3" i="26"/>
  <c r="K3" i="26"/>
  <c r="J3" i="26"/>
  <c r="I3" i="26"/>
  <c r="H3" i="26"/>
  <c r="G3" i="26"/>
  <c r="F3" i="26"/>
  <c r="E3" i="26"/>
  <c r="D3" i="26"/>
  <c r="C3" i="26"/>
  <c r="B3" i="26"/>
  <c r="AE2" i="26"/>
  <c r="AD2" i="26"/>
  <c r="AB2" i="26"/>
  <c r="AC2" i="26" s="1"/>
  <c r="AA2" i="26"/>
  <c r="Z2" i="26"/>
  <c r="Y2" i="26"/>
  <c r="X2" i="26"/>
  <c r="V2" i="26"/>
  <c r="U2" i="26"/>
  <c r="T2" i="26"/>
  <c r="S2" i="26"/>
  <c r="R2" i="26"/>
  <c r="Q2" i="26"/>
  <c r="P2" i="26"/>
  <c r="O2" i="26"/>
  <c r="N2" i="26"/>
  <c r="M2" i="26"/>
  <c r="L2" i="26"/>
  <c r="K2" i="26"/>
  <c r="J2" i="26"/>
  <c r="I2" i="26"/>
  <c r="H2" i="26"/>
  <c r="G2" i="26"/>
  <c r="F2" i="26"/>
  <c r="E2" i="26"/>
  <c r="D2" i="26"/>
  <c r="C2" i="26"/>
  <c r="B2" i="26"/>
  <c r="AC4" i="30" l="1"/>
  <c r="AC4" i="29"/>
  <c r="AB5" i="28"/>
  <c r="AC5" i="28" s="1"/>
  <c r="AC4" i="27"/>
  <c r="AB5" i="26"/>
  <c r="AC5" i="26" s="1"/>
  <c r="Y2" i="3"/>
  <c r="AD5" i="3" l="1"/>
  <c r="AC3" i="3"/>
  <c r="AC4" i="3"/>
  <c r="AC5" i="3"/>
  <c r="AC6" i="3"/>
  <c r="AC7" i="3"/>
  <c r="AB5" i="3"/>
  <c r="AD4" i="3"/>
  <c r="C9" i="24"/>
  <c r="B9" i="24"/>
  <c r="B8" i="24"/>
  <c r="C8" i="24"/>
  <c r="C6" i="24"/>
  <c r="B6" i="24"/>
  <c r="C32" i="20"/>
  <c r="C22" i="20"/>
  <c r="C7" i="20"/>
  <c r="C12" i="20"/>
  <c r="D2" i="20"/>
  <c r="B2" i="20"/>
  <c r="C2" i="20"/>
  <c r="AD3" i="3" l="1"/>
  <c r="AD2" i="3"/>
  <c r="AB6" i="3"/>
  <c r="AB4" i="3"/>
  <c r="AB3" i="3"/>
  <c r="AB2" i="3"/>
  <c r="AD6" i="3" l="1"/>
  <c r="AD7" i="3"/>
  <c r="AD8" i="3"/>
  <c r="AB7" i="3"/>
  <c r="AB8" i="3"/>
  <c r="U3" i="3"/>
  <c r="U4" i="3"/>
  <c r="U5" i="3"/>
  <c r="U6" i="3"/>
  <c r="U7" i="3"/>
  <c r="U8" i="3"/>
  <c r="U2" i="3"/>
  <c r="S3" i="3"/>
  <c r="S4" i="3"/>
  <c r="S5" i="3"/>
  <c r="S6" i="3"/>
  <c r="S7" i="3"/>
  <c r="S8" i="3"/>
  <c r="S2" i="3"/>
  <c r="E12" i="23"/>
  <c r="B9" i="23"/>
  <c r="B8" i="23"/>
  <c r="B12" i="23" s="1"/>
  <c r="B7" i="23"/>
  <c r="T3" i="23" l="1"/>
  <c r="T4" i="23"/>
  <c r="T5" i="23"/>
  <c r="T6" i="23"/>
  <c r="T7" i="23"/>
  <c r="T8" i="23"/>
  <c r="T2" i="23"/>
  <c r="P2" i="23"/>
  <c r="Q2" i="23"/>
  <c r="P3" i="23"/>
  <c r="Q3" i="23"/>
  <c r="P4" i="23"/>
  <c r="Q4" i="23"/>
  <c r="P5" i="23"/>
  <c r="Q5" i="23"/>
  <c r="P6" i="23"/>
  <c r="Q6" i="23"/>
  <c r="P7" i="23"/>
  <c r="Q7" i="23"/>
  <c r="P8" i="23"/>
  <c r="Q8" i="23"/>
  <c r="N3" i="23" l="1"/>
  <c r="O3" i="23"/>
  <c r="N4" i="23"/>
  <c r="O4" i="23"/>
  <c r="N5" i="23"/>
  <c r="O5" i="23"/>
  <c r="N6" i="23"/>
  <c r="O6" i="23"/>
  <c r="N7" i="23"/>
  <c r="O7" i="23"/>
  <c r="N8" i="23"/>
  <c r="O8" i="23"/>
  <c r="O2" i="23"/>
  <c r="N2" i="23"/>
  <c r="J2" i="25"/>
  <c r="C17" i="25" s="1"/>
  <c r="C21" i="21" l="1"/>
  <c r="C17" i="21"/>
  <c r="C15" i="21"/>
  <c r="D8" i="21"/>
  <c r="B8" i="21"/>
  <c r="B3" i="21" s="1"/>
  <c r="B4" i="21" s="1"/>
  <c r="B5" i="21" s="1"/>
  <c r="B6" i="21" s="1"/>
  <c r="B7" i="21" s="1"/>
  <c r="C8" i="21"/>
  <c r="C4" i="21"/>
  <c r="D2" i="21"/>
  <c r="B2" i="21"/>
  <c r="C2" i="21"/>
  <c r="C6" i="21" l="1"/>
  <c r="X8" i="3"/>
  <c r="C3" i="21"/>
  <c r="X3" i="3" s="1"/>
  <c r="X2" i="3"/>
  <c r="D3" i="21"/>
  <c r="D4" i="21" s="1"/>
  <c r="D5" i="21" s="1"/>
  <c r="D6" i="21" s="1"/>
  <c r="D7" i="21" s="1"/>
  <c r="C5" i="21"/>
  <c r="X5" i="3" s="1"/>
  <c r="X4" i="3"/>
  <c r="C18" i="21"/>
  <c r="C19" i="21" s="1"/>
  <c r="C20" i="21" s="1"/>
  <c r="C16" i="21"/>
  <c r="C7" i="21" l="1"/>
  <c r="X7" i="3" s="1"/>
  <c r="X6" i="3"/>
  <c r="O2" i="19"/>
  <c r="D32" i="20"/>
  <c r="D13" i="19" l="1"/>
  <c r="D14" i="19" s="1"/>
  <c r="L11" i="19"/>
  <c r="J15" i="19"/>
  <c r="L9" i="19"/>
  <c r="L15" i="19"/>
  <c r="D11" i="19"/>
  <c r="D12" i="19" s="1"/>
  <c r="B15" i="19"/>
  <c r="B9" i="19"/>
  <c r="D15" i="19"/>
  <c r="B13" i="19"/>
  <c r="J13" i="19"/>
  <c r="J11" i="19"/>
  <c r="L13" i="19"/>
  <c r="B11" i="19"/>
  <c r="B12" i="19" s="1"/>
  <c r="B20" i="19"/>
  <c r="B22" i="19"/>
  <c r="B21" i="19" s="1"/>
  <c r="B24" i="19"/>
  <c r="B26" i="19"/>
  <c r="B25" i="19" s="1"/>
  <c r="C25" i="24"/>
  <c r="C23" i="24"/>
  <c r="C22" i="24"/>
  <c r="C21" i="24"/>
  <c r="C24" i="24"/>
  <c r="C26" i="24"/>
  <c r="C20" i="24"/>
  <c r="B25" i="24"/>
  <c r="B23" i="24"/>
  <c r="B21" i="24"/>
  <c r="B22" i="24"/>
  <c r="B24" i="24"/>
  <c r="B26" i="24"/>
  <c r="B14" i="19" l="1"/>
  <c r="B23" i="19"/>
  <c r="B10" i="19"/>
  <c r="C25" i="25"/>
  <c r="D3" i="25"/>
  <c r="D4" i="25"/>
  <c r="D5" i="25"/>
  <c r="D6" i="25"/>
  <c r="D2" i="25"/>
  <c r="H17" i="25" l="1"/>
  <c r="B6" i="25"/>
  <c r="B5" i="25"/>
  <c r="B4" i="25"/>
  <c r="C3" i="25"/>
  <c r="C4" i="25"/>
  <c r="C5" i="25"/>
  <c r="C6" i="25"/>
  <c r="B3" i="25"/>
  <c r="C2" i="25"/>
  <c r="B2" i="25"/>
  <c r="G8" i="25" l="1"/>
  <c r="J17" i="24" l="1"/>
  <c r="M18" i="24"/>
  <c r="M19" i="24" s="1"/>
  <c r="N18" i="24"/>
  <c r="N19" i="24" s="1"/>
  <c r="H17" i="24"/>
  <c r="F17" i="24"/>
  <c r="C17" i="24"/>
  <c r="B17" i="24"/>
  <c r="J5" i="24"/>
  <c r="J6" i="24" s="1"/>
  <c r="J13" i="24" s="1"/>
  <c r="J11" i="24"/>
  <c r="J10" i="24"/>
  <c r="J4" i="24"/>
  <c r="J8" i="24"/>
  <c r="J9" i="24"/>
  <c r="H10" i="24"/>
  <c r="H9" i="24"/>
  <c r="H8" i="24"/>
  <c r="H5" i="24"/>
  <c r="H4" i="24"/>
  <c r="F10" i="24"/>
  <c r="C10" i="24"/>
  <c r="B10" i="24"/>
  <c r="F4" i="24"/>
  <c r="F8" i="24"/>
  <c r="F5" i="24"/>
  <c r="C5" i="24"/>
  <c r="C4" i="24"/>
  <c r="B5" i="24"/>
  <c r="B4" i="24"/>
  <c r="R6" i="24"/>
  <c r="R5" i="24"/>
  <c r="R4" i="24"/>
  <c r="P6" i="24" l="1"/>
  <c r="Q6" i="24"/>
  <c r="Q5" i="24"/>
  <c r="Q4" i="24"/>
  <c r="P5" i="24"/>
  <c r="P4" i="24"/>
  <c r="F9" i="24"/>
  <c r="H11" i="24"/>
  <c r="H6" i="24"/>
  <c r="F6" i="24"/>
  <c r="F11" i="24"/>
  <c r="C11" i="24"/>
  <c r="B11" i="24"/>
  <c r="H13" i="24" l="1"/>
  <c r="F13" i="24"/>
  <c r="B13" i="24"/>
  <c r="Y3" i="3"/>
  <c r="Y4" i="3"/>
  <c r="Y5" i="3"/>
  <c r="Y6" i="3"/>
  <c r="Y7" i="3"/>
  <c r="Y8" i="3"/>
  <c r="C13" i="24" l="1"/>
  <c r="AC8" i="3"/>
  <c r="AC2" i="3"/>
  <c r="C10" i="23" l="1"/>
  <c r="E14" i="23" s="1"/>
  <c r="B10" i="23"/>
  <c r="B17" i="23"/>
  <c r="C17" i="23"/>
  <c r="C8" i="23"/>
  <c r="C9" i="23"/>
  <c r="E13" i="23" s="1"/>
  <c r="C2" i="23" l="1"/>
  <c r="C7" i="23" l="1"/>
  <c r="D2" i="23"/>
  <c r="Z3" i="3"/>
  <c r="Z4" i="3"/>
  <c r="Z5" i="3"/>
  <c r="Z6" i="3"/>
  <c r="Z7" i="3"/>
  <c r="Z8" i="3"/>
  <c r="Z2" i="3"/>
  <c r="AA3" i="3"/>
  <c r="AA4" i="3"/>
  <c r="AA5" i="3"/>
  <c r="AA6" i="3"/>
  <c r="AA7" i="3"/>
  <c r="AA8" i="3"/>
  <c r="AA2" i="3"/>
  <c r="W3" i="3"/>
  <c r="W4" i="3"/>
  <c r="W5" i="3"/>
  <c r="W6" i="3"/>
  <c r="W7" i="3"/>
  <c r="W8" i="3"/>
  <c r="W2" i="3"/>
  <c r="C14" i="23" l="1"/>
  <c r="C13" i="23"/>
  <c r="C12" i="23"/>
  <c r="B14" i="23"/>
  <c r="B13" i="23"/>
  <c r="I4" i="19"/>
  <c r="H4" i="19"/>
  <c r="G4" i="19"/>
  <c r="D2" i="19"/>
  <c r="C2" i="19"/>
  <c r="V4" i="23" l="1"/>
  <c r="U7" i="23"/>
  <c r="U2" i="23"/>
  <c r="W4" i="23"/>
  <c r="V7" i="23"/>
  <c r="U5" i="23"/>
  <c r="W7" i="23"/>
  <c r="V5" i="23"/>
  <c r="U8" i="23"/>
  <c r="W6" i="23"/>
  <c r="U3" i="23"/>
  <c r="W5" i="23"/>
  <c r="V8" i="23"/>
  <c r="V3" i="23"/>
  <c r="U6" i="23"/>
  <c r="W8" i="23"/>
  <c r="W3" i="23"/>
  <c r="V6" i="23"/>
  <c r="V2" i="23"/>
  <c r="U4" i="23"/>
  <c r="W2" i="23"/>
  <c r="B18" i="11"/>
  <c r="P3" i="3"/>
  <c r="P4" i="3"/>
  <c r="P5" i="3"/>
  <c r="P6" i="3"/>
  <c r="P7" i="3"/>
  <c r="P8" i="3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8" i="9"/>
  <c r="B8" i="9"/>
  <c r="N3" i="3"/>
  <c r="N4" i="3"/>
  <c r="N5" i="3"/>
  <c r="N6" i="3"/>
  <c r="N7" i="3"/>
  <c r="N8" i="3"/>
  <c r="N2" i="3"/>
  <c r="H3" i="3"/>
  <c r="H4" i="3"/>
  <c r="H5" i="3"/>
  <c r="H6" i="3"/>
  <c r="H7" i="3"/>
  <c r="H8" i="3"/>
  <c r="H2" i="3"/>
  <c r="E3" i="3"/>
  <c r="E4" i="3"/>
  <c r="E5" i="3"/>
  <c r="E6" i="3"/>
  <c r="E7" i="3"/>
  <c r="E8" i="3"/>
  <c r="E2" i="3"/>
  <c r="F3" i="3"/>
  <c r="F4" i="3"/>
  <c r="F5" i="3"/>
  <c r="F6" i="3"/>
  <c r="F7" i="3"/>
  <c r="F8" i="3"/>
  <c r="F2" i="3"/>
  <c r="E12" i="8"/>
  <c r="F12" i="8"/>
  <c r="G12" i="8"/>
  <c r="E13" i="8"/>
  <c r="F13" i="8"/>
  <c r="G13" i="8"/>
  <c r="E14" i="8"/>
  <c r="F14" i="8"/>
  <c r="G14" i="8"/>
  <c r="E15" i="8"/>
  <c r="F15" i="8"/>
  <c r="G15" i="8"/>
  <c r="E16" i="8"/>
  <c r="F16" i="8"/>
  <c r="G16" i="8"/>
  <c r="E17" i="8"/>
  <c r="F17" i="8"/>
  <c r="G17" i="8"/>
  <c r="E18" i="8"/>
  <c r="F18" i="8"/>
  <c r="G18" i="8"/>
  <c r="E19" i="8"/>
  <c r="F19" i="8"/>
  <c r="G19" i="8"/>
  <c r="E20" i="8"/>
  <c r="F20" i="8"/>
  <c r="G20" i="8"/>
  <c r="E21" i="8"/>
  <c r="F21" i="8"/>
  <c r="G21" i="8"/>
  <c r="E22" i="8"/>
  <c r="F22" i="8"/>
  <c r="G22" i="8"/>
  <c r="E23" i="8"/>
  <c r="F23" i="8"/>
  <c r="G23" i="8"/>
  <c r="E24" i="8"/>
  <c r="F24" i="8"/>
  <c r="G24" i="8"/>
  <c r="E25" i="8"/>
  <c r="F25" i="8"/>
  <c r="G25" i="8"/>
  <c r="E26" i="8"/>
  <c r="F26" i="8"/>
  <c r="G26" i="8"/>
  <c r="E27" i="8"/>
  <c r="F27" i="8"/>
  <c r="G27" i="8"/>
  <c r="E28" i="8"/>
  <c r="F28" i="8"/>
  <c r="G28" i="8"/>
  <c r="E29" i="8"/>
  <c r="F29" i="8"/>
  <c r="G29" i="8"/>
  <c r="E30" i="8"/>
  <c r="F30" i="8"/>
  <c r="G30" i="8"/>
  <c r="E31" i="8"/>
  <c r="F31" i="8"/>
  <c r="G31" i="8"/>
  <c r="E32" i="8"/>
  <c r="F32" i="8"/>
  <c r="G32" i="8"/>
  <c r="E33" i="8"/>
  <c r="F33" i="8"/>
  <c r="G33" i="8"/>
  <c r="E34" i="8"/>
  <c r="F34" i="8"/>
  <c r="G34" i="8"/>
  <c r="E35" i="8"/>
  <c r="F35" i="8"/>
  <c r="G35" i="8"/>
  <c r="E36" i="8"/>
  <c r="F36" i="8"/>
  <c r="G36" i="8"/>
  <c r="E37" i="8"/>
  <c r="F37" i="8"/>
  <c r="G37" i="8"/>
  <c r="E38" i="8"/>
  <c r="F38" i="8"/>
  <c r="G38" i="8"/>
  <c r="E39" i="8"/>
  <c r="F39" i="8"/>
  <c r="G39" i="8"/>
  <c r="E40" i="8"/>
  <c r="F40" i="8"/>
  <c r="G40" i="8"/>
  <c r="E41" i="8"/>
  <c r="F41" i="8"/>
  <c r="G41" i="8"/>
  <c r="F11" i="8"/>
  <c r="G11" i="8"/>
  <c r="E11" i="8"/>
  <c r="E19" i="11"/>
  <c r="F19" i="11"/>
  <c r="G19" i="11"/>
  <c r="E20" i="11"/>
  <c r="F20" i="11"/>
  <c r="G20" i="11"/>
  <c r="E21" i="11"/>
  <c r="F21" i="11"/>
  <c r="G21" i="11"/>
  <c r="E22" i="11"/>
  <c r="F22" i="11"/>
  <c r="G22" i="11"/>
  <c r="E23" i="11"/>
  <c r="F23" i="11"/>
  <c r="G23" i="11"/>
  <c r="E24" i="11"/>
  <c r="F24" i="11"/>
  <c r="G24" i="11"/>
  <c r="E25" i="11"/>
  <c r="F25" i="11"/>
  <c r="G25" i="11"/>
  <c r="E26" i="11"/>
  <c r="F26" i="11"/>
  <c r="G26" i="11"/>
  <c r="E27" i="11"/>
  <c r="F27" i="11"/>
  <c r="G27" i="11"/>
  <c r="E28" i="11"/>
  <c r="F28" i="11"/>
  <c r="G28" i="11"/>
  <c r="E29" i="11"/>
  <c r="F29" i="11"/>
  <c r="G29" i="11"/>
  <c r="E30" i="11"/>
  <c r="F30" i="11"/>
  <c r="G30" i="11"/>
  <c r="E31" i="11"/>
  <c r="F31" i="11"/>
  <c r="G31" i="11"/>
  <c r="E32" i="11"/>
  <c r="F32" i="11"/>
  <c r="G32" i="11"/>
  <c r="E33" i="11"/>
  <c r="F33" i="11"/>
  <c r="G33" i="11"/>
  <c r="E34" i="11"/>
  <c r="F34" i="11"/>
  <c r="G34" i="11"/>
  <c r="E35" i="11"/>
  <c r="F35" i="11"/>
  <c r="G35" i="11"/>
  <c r="E36" i="11"/>
  <c r="F36" i="11"/>
  <c r="G36" i="11"/>
  <c r="E37" i="11"/>
  <c r="F37" i="11"/>
  <c r="G37" i="11"/>
  <c r="E38" i="11"/>
  <c r="F38" i="11"/>
  <c r="G38" i="11"/>
  <c r="E39" i="11"/>
  <c r="F39" i="11"/>
  <c r="G39" i="11"/>
  <c r="E40" i="11"/>
  <c r="F40" i="11"/>
  <c r="G40" i="11"/>
  <c r="E41" i="11"/>
  <c r="F41" i="11"/>
  <c r="G41" i="11"/>
  <c r="E42" i="11"/>
  <c r="F42" i="11"/>
  <c r="G42" i="11"/>
  <c r="E43" i="11"/>
  <c r="F43" i="11"/>
  <c r="G43" i="11"/>
  <c r="E44" i="11"/>
  <c r="F44" i="11"/>
  <c r="G44" i="11"/>
  <c r="E45" i="11"/>
  <c r="F45" i="11"/>
  <c r="G45" i="11"/>
  <c r="E46" i="11"/>
  <c r="F46" i="11"/>
  <c r="G46" i="11"/>
  <c r="E47" i="11"/>
  <c r="F47" i="11"/>
  <c r="G47" i="11"/>
  <c r="E48" i="11"/>
  <c r="F48" i="11"/>
  <c r="G48" i="11"/>
  <c r="F18" i="11"/>
  <c r="G18" i="11"/>
  <c r="E18" i="11"/>
  <c r="B19" i="11"/>
  <c r="C19" i="11"/>
  <c r="D19" i="11"/>
  <c r="B20" i="11"/>
  <c r="C20" i="11"/>
  <c r="D20" i="11"/>
  <c r="B21" i="11"/>
  <c r="C21" i="11"/>
  <c r="D21" i="11"/>
  <c r="B22" i="11"/>
  <c r="C22" i="11"/>
  <c r="D22" i="11"/>
  <c r="B23" i="11"/>
  <c r="C23" i="11"/>
  <c r="D23" i="11"/>
  <c r="B24" i="11"/>
  <c r="C24" i="11"/>
  <c r="D24" i="11"/>
  <c r="B25" i="11"/>
  <c r="C25" i="11"/>
  <c r="D25" i="11"/>
  <c r="B26" i="11"/>
  <c r="C26" i="11"/>
  <c r="D26" i="11"/>
  <c r="B27" i="11"/>
  <c r="C27" i="11"/>
  <c r="D27" i="11"/>
  <c r="B28" i="11"/>
  <c r="C28" i="11"/>
  <c r="D28" i="11"/>
  <c r="B29" i="11"/>
  <c r="C29" i="11"/>
  <c r="D29" i="11"/>
  <c r="B30" i="11"/>
  <c r="C30" i="11"/>
  <c r="D30" i="11"/>
  <c r="B31" i="11"/>
  <c r="C31" i="11"/>
  <c r="D31" i="11"/>
  <c r="B32" i="11"/>
  <c r="C32" i="11"/>
  <c r="D32" i="11"/>
  <c r="B33" i="11"/>
  <c r="C33" i="11"/>
  <c r="D33" i="11"/>
  <c r="B34" i="11"/>
  <c r="C34" i="11"/>
  <c r="D34" i="11"/>
  <c r="B35" i="11"/>
  <c r="C35" i="11"/>
  <c r="D35" i="11"/>
  <c r="B36" i="11"/>
  <c r="C36" i="11"/>
  <c r="D36" i="11"/>
  <c r="B37" i="11"/>
  <c r="C37" i="11"/>
  <c r="D37" i="11"/>
  <c r="B38" i="11"/>
  <c r="C38" i="11"/>
  <c r="D38" i="11"/>
  <c r="B39" i="11"/>
  <c r="C39" i="11"/>
  <c r="D39" i="11"/>
  <c r="B40" i="11"/>
  <c r="C40" i="11"/>
  <c r="D40" i="11"/>
  <c r="B41" i="11"/>
  <c r="C41" i="11"/>
  <c r="D41" i="11"/>
  <c r="B42" i="11"/>
  <c r="C42" i="11"/>
  <c r="D42" i="11"/>
  <c r="B43" i="11"/>
  <c r="C43" i="11"/>
  <c r="D43" i="11"/>
  <c r="B44" i="11"/>
  <c r="C44" i="11"/>
  <c r="D44" i="11"/>
  <c r="B45" i="11"/>
  <c r="C45" i="11"/>
  <c r="D45" i="11"/>
  <c r="B46" i="11"/>
  <c r="C46" i="11"/>
  <c r="D46" i="11"/>
  <c r="B47" i="11"/>
  <c r="C47" i="11"/>
  <c r="D47" i="11"/>
  <c r="B48" i="11"/>
  <c r="C48" i="11"/>
  <c r="D48" i="11"/>
  <c r="C18" i="11"/>
  <c r="D18" i="11"/>
  <c r="J17" i="11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20" i="10"/>
  <c r="G20" i="10"/>
  <c r="E20" i="10"/>
  <c r="J19" i="10"/>
  <c r="D20" i="10"/>
  <c r="B21" i="10"/>
  <c r="C21" i="10"/>
  <c r="D21" i="10"/>
  <c r="B22" i="10"/>
  <c r="C22" i="10"/>
  <c r="D22" i="10"/>
  <c r="B23" i="10"/>
  <c r="C23" i="10"/>
  <c r="D23" i="10"/>
  <c r="B24" i="10"/>
  <c r="C24" i="10"/>
  <c r="D24" i="10"/>
  <c r="B25" i="10"/>
  <c r="C25" i="10"/>
  <c r="D25" i="10"/>
  <c r="B26" i="10"/>
  <c r="C26" i="10"/>
  <c r="D26" i="10"/>
  <c r="B27" i="10"/>
  <c r="C27" i="10"/>
  <c r="D27" i="10"/>
  <c r="B28" i="10"/>
  <c r="C28" i="10"/>
  <c r="D28" i="10"/>
  <c r="B29" i="10"/>
  <c r="C29" i="10"/>
  <c r="D29" i="10"/>
  <c r="B30" i="10"/>
  <c r="C30" i="10"/>
  <c r="D30" i="10"/>
  <c r="B31" i="10"/>
  <c r="C31" i="10"/>
  <c r="D31" i="10"/>
  <c r="B32" i="10"/>
  <c r="C32" i="10"/>
  <c r="D32" i="10"/>
  <c r="B33" i="10"/>
  <c r="C33" i="10"/>
  <c r="D33" i="10"/>
  <c r="B34" i="10"/>
  <c r="C34" i="10"/>
  <c r="D34" i="10"/>
  <c r="B35" i="10"/>
  <c r="C35" i="10"/>
  <c r="D35" i="10"/>
  <c r="B36" i="10"/>
  <c r="C36" i="10"/>
  <c r="D36" i="10"/>
  <c r="B37" i="10"/>
  <c r="C37" i="10"/>
  <c r="D37" i="10"/>
  <c r="B38" i="10"/>
  <c r="C38" i="10"/>
  <c r="D38" i="10"/>
  <c r="B39" i="10"/>
  <c r="C39" i="10"/>
  <c r="D39" i="10"/>
  <c r="B40" i="10"/>
  <c r="C40" i="10"/>
  <c r="D40" i="10"/>
  <c r="B41" i="10"/>
  <c r="C41" i="10"/>
  <c r="D41" i="10"/>
  <c r="B42" i="10"/>
  <c r="C42" i="10"/>
  <c r="D42" i="10"/>
  <c r="B43" i="10"/>
  <c r="C43" i="10"/>
  <c r="D43" i="10"/>
  <c r="B44" i="10"/>
  <c r="C44" i="10"/>
  <c r="D44" i="10"/>
  <c r="B45" i="10"/>
  <c r="C45" i="10"/>
  <c r="D45" i="10"/>
  <c r="B46" i="10"/>
  <c r="C46" i="10"/>
  <c r="D46" i="10"/>
  <c r="B47" i="10"/>
  <c r="C47" i="10"/>
  <c r="D47" i="10"/>
  <c r="B48" i="10"/>
  <c r="C48" i="10"/>
  <c r="D48" i="10"/>
  <c r="B49" i="10"/>
  <c r="C49" i="10"/>
  <c r="D49" i="10"/>
  <c r="B50" i="10"/>
  <c r="C50" i="10"/>
  <c r="D50" i="10"/>
  <c r="C20" i="10"/>
  <c r="B20" i="10"/>
  <c r="C11" i="8"/>
  <c r="B11" i="8"/>
  <c r="B15" i="12"/>
  <c r="Q3" i="3" l="1"/>
  <c r="Q4" i="3"/>
  <c r="Q5" i="3"/>
  <c r="Q6" i="3"/>
  <c r="Q7" i="3"/>
  <c r="Q8" i="3"/>
  <c r="Q2" i="3"/>
  <c r="R3" i="3"/>
  <c r="R4" i="3"/>
  <c r="R5" i="3"/>
  <c r="R6" i="3"/>
  <c r="R7" i="3"/>
  <c r="R8" i="3"/>
  <c r="R2" i="3"/>
  <c r="B1" i="18" l="1"/>
  <c r="K14" i="12"/>
  <c r="J14" i="12"/>
  <c r="I17" i="11"/>
  <c r="H7" i="9"/>
  <c r="I19" i="10"/>
  <c r="J13" i="6"/>
  <c r="K13" i="6"/>
  <c r="K2" i="3" s="1"/>
  <c r="L13" i="6"/>
  <c r="J14" i="6"/>
  <c r="K14" i="6"/>
  <c r="L14" i="6"/>
  <c r="J15" i="6"/>
  <c r="K15" i="6"/>
  <c r="L15" i="6"/>
  <c r="J16" i="6"/>
  <c r="K16" i="6"/>
  <c r="L16" i="6"/>
  <c r="J17" i="6"/>
  <c r="K17" i="6"/>
  <c r="L17" i="6"/>
  <c r="J18" i="6"/>
  <c r="K18" i="6"/>
  <c r="K3" i="3" s="1"/>
  <c r="L18" i="6"/>
  <c r="J19" i="6"/>
  <c r="K19" i="6"/>
  <c r="L19" i="6"/>
  <c r="J20" i="6"/>
  <c r="K20" i="6"/>
  <c r="L20" i="6"/>
  <c r="J21" i="6"/>
  <c r="K21" i="6"/>
  <c r="L21" i="6"/>
  <c r="J22" i="6"/>
  <c r="K22" i="6"/>
  <c r="L22" i="6"/>
  <c r="J23" i="6"/>
  <c r="K23" i="6"/>
  <c r="K4" i="3" s="1"/>
  <c r="L23" i="6"/>
  <c r="J24" i="6"/>
  <c r="K24" i="6"/>
  <c r="L24" i="6"/>
  <c r="J25" i="6"/>
  <c r="K25" i="6"/>
  <c r="L25" i="6"/>
  <c r="J26" i="6"/>
  <c r="K26" i="6"/>
  <c r="L26" i="6"/>
  <c r="J27" i="6"/>
  <c r="K27" i="6"/>
  <c r="L27" i="6"/>
  <c r="J28" i="6"/>
  <c r="K28" i="6"/>
  <c r="K5" i="3" s="1"/>
  <c r="L28" i="6"/>
  <c r="J29" i="6"/>
  <c r="K29" i="6"/>
  <c r="L29" i="6"/>
  <c r="J30" i="6"/>
  <c r="K30" i="6"/>
  <c r="L30" i="6"/>
  <c r="J31" i="6"/>
  <c r="K31" i="6"/>
  <c r="L31" i="6"/>
  <c r="J32" i="6"/>
  <c r="K32" i="6"/>
  <c r="L32" i="6"/>
  <c r="J33" i="6"/>
  <c r="K33" i="6"/>
  <c r="K6" i="3" s="1"/>
  <c r="L33" i="6"/>
  <c r="J34" i="6"/>
  <c r="K34" i="6"/>
  <c r="L34" i="6"/>
  <c r="J35" i="6"/>
  <c r="K35" i="6"/>
  <c r="L35" i="6"/>
  <c r="J36" i="6"/>
  <c r="K36" i="6"/>
  <c r="L36" i="6"/>
  <c r="J37" i="6"/>
  <c r="K37" i="6"/>
  <c r="L37" i="6"/>
  <c r="J38" i="6"/>
  <c r="K38" i="6"/>
  <c r="K7" i="3" s="1"/>
  <c r="L38" i="6"/>
  <c r="J39" i="6"/>
  <c r="K39" i="6"/>
  <c r="L39" i="6"/>
  <c r="J40" i="6"/>
  <c r="K40" i="6"/>
  <c r="L40" i="6"/>
  <c r="J41" i="6"/>
  <c r="K41" i="6"/>
  <c r="L41" i="6"/>
  <c r="J42" i="6"/>
  <c r="K42" i="6"/>
  <c r="L42" i="6"/>
  <c r="J43" i="6"/>
  <c r="K43" i="6"/>
  <c r="K8" i="3" s="1"/>
  <c r="L43" i="6"/>
  <c r="B12" i="8"/>
  <c r="C12" i="8"/>
  <c r="D12" i="8"/>
  <c r="B13" i="8"/>
  <c r="C13" i="8"/>
  <c r="D13" i="8"/>
  <c r="B14" i="8"/>
  <c r="C14" i="8"/>
  <c r="D14" i="8"/>
  <c r="B15" i="8"/>
  <c r="C15" i="8"/>
  <c r="D15" i="8"/>
  <c r="B16" i="8"/>
  <c r="C16" i="8"/>
  <c r="D3" i="3" s="1"/>
  <c r="D16" i="8"/>
  <c r="B17" i="8"/>
  <c r="C17" i="8"/>
  <c r="D17" i="8"/>
  <c r="B18" i="8"/>
  <c r="C18" i="8"/>
  <c r="D18" i="8"/>
  <c r="B19" i="8"/>
  <c r="C19" i="8"/>
  <c r="D19" i="8"/>
  <c r="B20" i="8"/>
  <c r="C20" i="8"/>
  <c r="D20" i="8"/>
  <c r="B21" i="8"/>
  <c r="C21" i="8"/>
  <c r="D4" i="3" s="1"/>
  <c r="D21" i="8"/>
  <c r="B22" i="8"/>
  <c r="C22" i="8"/>
  <c r="D22" i="8"/>
  <c r="B23" i="8"/>
  <c r="C23" i="8"/>
  <c r="D23" i="8"/>
  <c r="B24" i="8"/>
  <c r="C24" i="8"/>
  <c r="D24" i="8"/>
  <c r="B25" i="8"/>
  <c r="C25" i="8"/>
  <c r="D25" i="8"/>
  <c r="B26" i="8"/>
  <c r="C26" i="8"/>
  <c r="D5" i="3" s="1"/>
  <c r="D26" i="8"/>
  <c r="B27" i="8"/>
  <c r="C27" i="8"/>
  <c r="D27" i="8"/>
  <c r="B28" i="8"/>
  <c r="C28" i="8"/>
  <c r="D28" i="8"/>
  <c r="B29" i="8"/>
  <c r="C29" i="8"/>
  <c r="D29" i="8"/>
  <c r="B30" i="8"/>
  <c r="C30" i="8"/>
  <c r="D30" i="8"/>
  <c r="B31" i="8"/>
  <c r="C31" i="8"/>
  <c r="D6" i="3" s="1"/>
  <c r="D31" i="8"/>
  <c r="B32" i="8"/>
  <c r="C32" i="8"/>
  <c r="D32" i="8"/>
  <c r="B33" i="8"/>
  <c r="C33" i="8"/>
  <c r="D33" i="8"/>
  <c r="B34" i="8"/>
  <c r="C34" i="8"/>
  <c r="D34" i="8"/>
  <c r="B35" i="8"/>
  <c r="C35" i="8"/>
  <c r="D35" i="8"/>
  <c r="B36" i="8"/>
  <c r="C36" i="8"/>
  <c r="D7" i="3" s="1"/>
  <c r="D36" i="8"/>
  <c r="B37" i="8"/>
  <c r="C37" i="8"/>
  <c r="D37" i="8"/>
  <c r="B38" i="8"/>
  <c r="C38" i="8"/>
  <c r="D38" i="8"/>
  <c r="B39" i="8"/>
  <c r="C39" i="8"/>
  <c r="D39" i="8"/>
  <c r="B40" i="8"/>
  <c r="C40" i="8"/>
  <c r="D40" i="8"/>
  <c r="B41" i="8"/>
  <c r="C41" i="8"/>
  <c r="D8" i="3" s="1"/>
  <c r="D41" i="8"/>
  <c r="D2" i="3"/>
  <c r="D11" i="8"/>
  <c r="B12" i="7"/>
  <c r="C12" i="7"/>
  <c r="D12" i="7"/>
  <c r="B13" i="7"/>
  <c r="C13" i="7"/>
  <c r="D13" i="7"/>
  <c r="B14" i="7"/>
  <c r="C14" i="7"/>
  <c r="D14" i="7"/>
  <c r="B15" i="7"/>
  <c r="C15" i="7"/>
  <c r="D15" i="7"/>
  <c r="B16" i="7"/>
  <c r="C16" i="7"/>
  <c r="D16" i="7"/>
  <c r="B17" i="7"/>
  <c r="C17" i="7"/>
  <c r="D17" i="7"/>
  <c r="B18" i="7"/>
  <c r="C18" i="7"/>
  <c r="D18" i="7"/>
  <c r="B19" i="7"/>
  <c r="C19" i="7"/>
  <c r="D19" i="7"/>
  <c r="B20" i="7"/>
  <c r="C20" i="7"/>
  <c r="D20" i="7"/>
  <c r="B21" i="7"/>
  <c r="C21" i="7"/>
  <c r="D21" i="7"/>
  <c r="B22" i="7"/>
  <c r="C22" i="7"/>
  <c r="D22" i="7"/>
  <c r="B23" i="7"/>
  <c r="C23" i="7"/>
  <c r="D23" i="7"/>
  <c r="B24" i="7"/>
  <c r="C24" i="7"/>
  <c r="D24" i="7"/>
  <c r="B25" i="7"/>
  <c r="C25" i="7"/>
  <c r="D25" i="7"/>
  <c r="B26" i="7"/>
  <c r="C26" i="7"/>
  <c r="D26" i="7"/>
  <c r="B27" i="7"/>
  <c r="C27" i="7"/>
  <c r="D27" i="7"/>
  <c r="B28" i="7"/>
  <c r="C28" i="7"/>
  <c r="D28" i="7"/>
  <c r="B29" i="7"/>
  <c r="C29" i="7"/>
  <c r="D29" i="7"/>
  <c r="B30" i="7"/>
  <c r="C30" i="7"/>
  <c r="D30" i="7"/>
  <c r="B31" i="7"/>
  <c r="C31" i="7"/>
  <c r="D31" i="7"/>
  <c r="B32" i="7"/>
  <c r="C32" i="7"/>
  <c r="D32" i="7"/>
  <c r="B33" i="7"/>
  <c r="C33" i="7"/>
  <c r="D33" i="7"/>
  <c r="B34" i="7"/>
  <c r="C34" i="7"/>
  <c r="D34" i="7"/>
  <c r="B35" i="7"/>
  <c r="C35" i="7"/>
  <c r="D35" i="7"/>
  <c r="B36" i="7"/>
  <c r="C36" i="7"/>
  <c r="D36" i="7"/>
  <c r="B37" i="7"/>
  <c r="C37" i="7"/>
  <c r="D37" i="7"/>
  <c r="B38" i="7"/>
  <c r="C38" i="7"/>
  <c r="D38" i="7"/>
  <c r="B39" i="7"/>
  <c r="C39" i="7"/>
  <c r="D39" i="7"/>
  <c r="B40" i="7"/>
  <c r="C40" i="7"/>
  <c r="D40" i="7"/>
  <c r="B41" i="7"/>
  <c r="C41" i="7"/>
  <c r="D41" i="7"/>
  <c r="B42" i="7"/>
  <c r="C42" i="7"/>
  <c r="D42" i="7"/>
  <c r="B16" i="9" l="1"/>
  <c r="B24" i="9"/>
  <c r="B32" i="9"/>
  <c r="B18" i="9"/>
  <c r="B26" i="9"/>
  <c r="B11" i="9"/>
  <c r="B35" i="9"/>
  <c r="B9" i="9"/>
  <c r="B17" i="9"/>
  <c r="B25" i="9"/>
  <c r="B33" i="9"/>
  <c r="B10" i="9"/>
  <c r="B34" i="9"/>
  <c r="B19" i="9"/>
  <c r="B27" i="9"/>
  <c r="B12" i="9"/>
  <c r="B20" i="9"/>
  <c r="B28" i="9"/>
  <c r="B36" i="9"/>
  <c r="B22" i="9"/>
  <c r="B38" i="9"/>
  <c r="B23" i="9"/>
  <c r="B13" i="9"/>
  <c r="B21" i="9"/>
  <c r="B29" i="9"/>
  <c r="B37" i="9"/>
  <c r="B14" i="9"/>
  <c r="B30" i="9"/>
  <c r="B15" i="9"/>
  <c r="B31" i="9"/>
  <c r="E15" i="12"/>
  <c r="G17" i="12"/>
  <c r="F20" i="12"/>
  <c r="E23" i="12"/>
  <c r="G25" i="12"/>
  <c r="F28" i="12"/>
  <c r="E31" i="12"/>
  <c r="G33" i="12"/>
  <c r="F36" i="12"/>
  <c r="E39" i="12"/>
  <c r="G41" i="12"/>
  <c r="F44" i="12"/>
  <c r="G22" i="12"/>
  <c r="E36" i="12"/>
  <c r="F15" i="12"/>
  <c r="E18" i="12"/>
  <c r="G20" i="12"/>
  <c r="F23" i="12"/>
  <c r="E26" i="12"/>
  <c r="G28" i="12"/>
  <c r="F31" i="12"/>
  <c r="E34" i="12"/>
  <c r="G36" i="12"/>
  <c r="F39" i="12"/>
  <c r="E42" i="12"/>
  <c r="G44" i="12"/>
  <c r="G21" i="12"/>
  <c r="E27" i="12"/>
  <c r="F32" i="12"/>
  <c r="E43" i="12"/>
  <c r="G19" i="12"/>
  <c r="G27" i="12"/>
  <c r="F38" i="12"/>
  <c r="E20" i="12"/>
  <c r="G30" i="12"/>
  <c r="F41" i="12"/>
  <c r="G15" i="12"/>
  <c r="F18" i="12"/>
  <c r="E21" i="12"/>
  <c r="G23" i="12"/>
  <c r="F26" i="12"/>
  <c r="E29" i="12"/>
  <c r="G31" i="12"/>
  <c r="F34" i="12"/>
  <c r="E37" i="12"/>
  <c r="G39" i="12"/>
  <c r="F42" i="12"/>
  <c r="E45" i="12"/>
  <c r="F24" i="12"/>
  <c r="E35" i="12"/>
  <c r="E17" i="12"/>
  <c r="F30" i="12"/>
  <c r="G43" i="12"/>
  <c r="F33" i="12"/>
  <c r="E16" i="12"/>
  <c r="G18" i="12"/>
  <c r="F21" i="12"/>
  <c r="E24" i="12"/>
  <c r="G26" i="12"/>
  <c r="F29" i="12"/>
  <c r="E32" i="12"/>
  <c r="G34" i="12"/>
  <c r="F37" i="12"/>
  <c r="E40" i="12"/>
  <c r="G42" i="12"/>
  <c r="F45" i="12"/>
  <c r="E19" i="12"/>
  <c r="G29" i="12"/>
  <c r="G37" i="12"/>
  <c r="G45" i="12"/>
  <c r="E25" i="12"/>
  <c r="E41" i="12"/>
  <c r="F17" i="12"/>
  <c r="G38" i="12"/>
  <c r="F16" i="12"/>
  <c r="F40" i="12"/>
  <c r="F22" i="12"/>
  <c r="G35" i="12"/>
  <c r="F25" i="12"/>
  <c r="E44" i="12"/>
  <c r="G16" i="12"/>
  <c r="F19" i="12"/>
  <c r="E22" i="12"/>
  <c r="G24" i="12"/>
  <c r="F27" i="12"/>
  <c r="E30" i="12"/>
  <c r="G32" i="12"/>
  <c r="F35" i="12"/>
  <c r="E38" i="12"/>
  <c r="G40" i="12"/>
  <c r="F43" i="12"/>
  <c r="E33" i="12"/>
  <c r="E28" i="12"/>
  <c r="D17" i="12"/>
  <c r="C20" i="12"/>
  <c r="B23" i="12"/>
  <c r="D25" i="12"/>
  <c r="C28" i="12"/>
  <c r="B31" i="12"/>
  <c r="D33" i="12"/>
  <c r="C36" i="12"/>
  <c r="B39" i="12"/>
  <c r="D41" i="12"/>
  <c r="C44" i="12"/>
  <c r="B28" i="12"/>
  <c r="C41" i="12"/>
  <c r="C15" i="12"/>
  <c r="B18" i="12"/>
  <c r="D20" i="12"/>
  <c r="C23" i="12"/>
  <c r="B26" i="12"/>
  <c r="D28" i="12"/>
  <c r="C31" i="12"/>
  <c r="B34" i="12"/>
  <c r="D36" i="12"/>
  <c r="C39" i="12"/>
  <c r="B42" i="12"/>
  <c r="D44" i="12"/>
  <c r="C24" i="12"/>
  <c r="C32" i="12"/>
  <c r="B43" i="12"/>
  <c r="B17" i="12"/>
  <c r="C30" i="12"/>
  <c r="D35" i="12"/>
  <c r="B41" i="12"/>
  <c r="C17" i="12"/>
  <c r="C33" i="12"/>
  <c r="D38" i="12"/>
  <c r="D15" i="12"/>
  <c r="C18" i="12"/>
  <c r="B21" i="12"/>
  <c r="D23" i="12"/>
  <c r="C26" i="12"/>
  <c r="B29" i="12"/>
  <c r="D31" i="12"/>
  <c r="C34" i="12"/>
  <c r="B37" i="12"/>
  <c r="D39" i="12"/>
  <c r="C42" i="12"/>
  <c r="B45" i="12"/>
  <c r="B27" i="12"/>
  <c r="D37" i="12"/>
  <c r="D45" i="12"/>
  <c r="D19" i="12"/>
  <c r="B33" i="12"/>
  <c r="D22" i="12"/>
  <c r="B16" i="12"/>
  <c r="D18" i="12"/>
  <c r="C21" i="12"/>
  <c r="B24" i="12"/>
  <c r="D26" i="12"/>
  <c r="C29" i="12"/>
  <c r="B32" i="12"/>
  <c r="D34" i="12"/>
  <c r="C37" i="12"/>
  <c r="B40" i="12"/>
  <c r="D42" i="12"/>
  <c r="C45" i="12"/>
  <c r="D21" i="12"/>
  <c r="C40" i="12"/>
  <c r="B25" i="12"/>
  <c r="D43" i="12"/>
  <c r="C25" i="12"/>
  <c r="C16" i="12"/>
  <c r="B19" i="12"/>
  <c r="D29" i="12"/>
  <c r="B35" i="12"/>
  <c r="C22" i="12"/>
  <c r="C38" i="12"/>
  <c r="B20" i="12"/>
  <c r="B36" i="12"/>
  <c r="D16" i="12"/>
  <c r="C19" i="12"/>
  <c r="B22" i="12"/>
  <c r="D24" i="12"/>
  <c r="C27" i="12"/>
  <c r="B30" i="12"/>
  <c r="D32" i="12"/>
  <c r="C35" i="12"/>
  <c r="B38" i="12"/>
  <c r="D40" i="12"/>
  <c r="C43" i="12"/>
  <c r="D27" i="12"/>
  <c r="D30" i="12"/>
  <c r="B44" i="12"/>
  <c r="C3" i="3" l="1"/>
  <c r="C4" i="3"/>
  <c r="C5" i="3"/>
  <c r="C6" i="3"/>
  <c r="C7" i="3"/>
  <c r="C8" i="3"/>
  <c r="C2" i="3"/>
  <c r="B2" i="3"/>
  <c r="L3" i="3" l="1"/>
  <c r="L4" i="3"/>
  <c r="L5" i="3"/>
  <c r="L6" i="3"/>
  <c r="L7" i="3"/>
  <c r="L8" i="3"/>
  <c r="L2" i="3"/>
  <c r="J3" i="3"/>
  <c r="J4" i="3"/>
  <c r="J5" i="3"/>
  <c r="J6" i="3"/>
  <c r="J7" i="3"/>
  <c r="J8" i="3"/>
  <c r="J2" i="3"/>
  <c r="B3" i="3"/>
  <c r="B4" i="3"/>
  <c r="B5" i="3"/>
  <c r="B6" i="3"/>
  <c r="B7" i="3"/>
  <c r="B8" i="3"/>
  <c r="P2" i="3"/>
  <c r="H13" i="25" l="1"/>
  <c r="B12" i="25"/>
  <c r="B20" i="25" s="1"/>
  <c r="C12" i="25"/>
  <c r="C20" i="25" s="1"/>
  <c r="G17" i="25"/>
  <c r="C13" i="25"/>
  <c r="C21" i="25" s="1"/>
  <c r="C15" i="25"/>
  <c r="C23" i="25" s="1"/>
  <c r="C16" i="25"/>
  <c r="H16" i="25" s="1"/>
  <c r="B17" i="25"/>
  <c r="B25" i="25" s="1"/>
  <c r="B11" i="25"/>
  <c r="B19" i="25" s="1"/>
  <c r="G11" i="25"/>
  <c r="B13" i="25"/>
  <c r="C11" i="25"/>
  <c r="C19" i="25" s="1"/>
  <c r="B15" i="25"/>
  <c r="B23" i="25" s="1"/>
  <c r="G12" i="25" l="1"/>
  <c r="C24" i="25"/>
  <c r="C14" i="25"/>
  <c r="C22" i="25" s="1"/>
  <c r="B14" i="25"/>
  <c r="B22" i="25" s="1"/>
  <c r="H15" i="25"/>
  <c r="B21" i="25"/>
  <c r="G14" i="25"/>
  <c r="H14" i="25"/>
  <c r="G15" i="25"/>
  <c r="G13" i="25"/>
  <c r="H12" i="25"/>
  <c r="B16" i="25"/>
  <c r="G16" i="25" l="1"/>
  <c r="B24" i="25"/>
</calcChain>
</file>

<file path=xl/sharedStrings.xml><?xml version="1.0" encoding="utf-8"?>
<sst xmlns="http://schemas.openxmlformats.org/spreadsheetml/2006/main" count="544" uniqueCount="141">
  <si>
    <t>Wind</t>
  </si>
  <si>
    <t>Vintage</t>
  </si>
  <si>
    <t>Battery_Storage</t>
  </si>
  <si>
    <t>Central_PV</t>
  </si>
  <si>
    <t>Residential_PV</t>
  </si>
  <si>
    <t>Offshore_Wind</t>
  </si>
  <si>
    <t>Class 1 - Advanced</t>
  </si>
  <si>
    <t>Class 1 - Moderate</t>
  </si>
  <si>
    <t>Class 1 - Conservative</t>
  </si>
  <si>
    <t>Offshore wind</t>
  </si>
  <si>
    <t>Utility PV - Class 10 - Advanced</t>
  </si>
  <si>
    <t>Utility PV - Class 10 - Moderate</t>
  </si>
  <si>
    <t>Utility PV - Class 10 - Conservative</t>
  </si>
  <si>
    <t>Utility scale</t>
  </si>
  <si>
    <t>Residential PV - Class 10 - Advanced</t>
  </si>
  <si>
    <t>Residential PV - Class 10 - Moderate</t>
  </si>
  <si>
    <t>Residential PV - Class 10 - Conservative</t>
  </si>
  <si>
    <t>OM</t>
  </si>
  <si>
    <t>Coal-new-AvgCF-Advanced</t>
  </si>
  <si>
    <t>Coal-new-AvgCF-Moderate</t>
  </si>
  <si>
    <t>Coal-new-AvgCF-Conservative</t>
  </si>
  <si>
    <t>Coal-IGCC-AvgCF-Advanced</t>
  </si>
  <si>
    <t>Coal-IGCC-AvgCF-Moderate</t>
  </si>
  <si>
    <t>Coal-IGCC-AvgCF-Conservative</t>
  </si>
  <si>
    <t>Gas-CT-AvgCF - Advanced</t>
  </si>
  <si>
    <t>Gas-CT-AvgCF - Moderate</t>
  </si>
  <si>
    <t>Gas-CC-HighCF - Conservative</t>
  </si>
  <si>
    <t>Capital</t>
  </si>
  <si>
    <t>Var</t>
  </si>
  <si>
    <t>VAR</t>
  </si>
  <si>
    <t>Coal-new-HighCF-Conservative</t>
  </si>
  <si>
    <t>Hydro_Pumped</t>
  </si>
  <si>
    <t>Hydro_NonPumped</t>
  </si>
  <si>
    <t>Battery_Storage_energy</t>
  </si>
  <si>
    <t>Energy cost</t>
  </si>
  <si>
    <t>Capacity cost</t>
  </si>
  <si>
    <t>China</t>
  </si>
  <si>
    <t>Residential</t>
  </si>
  <si>
    <t>Utility</t>
  </si>
  <si>
    <t>Mw</t>
  </si>
  <si>
    <t>WMh</t>
  </si>
  <si>
    <t>Gas_Combustion_Turbine</t>
  </si>
  <si>
    <t>Gas_CCGT</t>
  </si>
  <si>
    <t>Coal</t>
  </si>
  <si>
    <t>Coal_IGCC</t>
  </si>
  <si>
    <t>Nuclear</t>
  </si>
  <si>
    <t>Hydrogen_turbine</t>
  </si>
  <si>
    <t>updated from 2021</t>
  </si>
  <si>
    <t>CT-convservative</t>
  </si>
  <si>
    <t>CT-moderate</t>
  </si>
  <si>
    <t>CCGT-convservative</t>
  </si>
  <si>
    <t>CCGT-moderate</t>
  </si>
  <si>
    <t>Tank</t>
  </si>
  <si>
    <t>Fuel_cell</t>
  </si>
  <si>
    <t>Moderate</t>
  </si>
  <si>
    <t>Conservative</t>
  </si>
  <si>
    <t>MJ/kg</t>
  </si>
  <si>
    <t>tonne</t>
  </si>
  <si>
    <t>MWh</t>
  </si>
  <si>
    <t>Compressed</t>
  </si>
  <si>
    <t>Liguid</t>
  </si>
  <si>
    <t>Salt cavern</t>
  </si>
  <si>
    <t>Year</t>
  </si>
  <si>
    <t>Advance</t>
  </si>
  <si>
    <t>MWh/kg</t>
  </si>
  <si>
    <t>cost (million $ for 5000 tonne H2)</t>
  </si>
  <si>
    <t>$/MWh</t>
  </si>
  <si>
    <t>reduction rate</t>
  </si>
  <si>
    <t>Salt_cavern</t>
  </si>
  <si>
    <t>Electrolyzer</t>
  </si>
  <si>
    <t>kg/MWh</t>
  </si>
  <si>
    <t>MW</t>
  </si>
  <si>
    <t>tonne/year</t>
  </si>
  <si>
    <t>SMR</t>
  </si>
  <si>
    <t>Gasification</t>
  </si>
  <si>
    <t>Total capital cost</t>
  </si>
  <si>
    <t>Inflation</t>
  </si>
  <si>
    <t>Capita cost per MW</t>
  </si>
  <si>
    <t>OM per MW</t>
  </si>
  <si>
    <t>Variable cost per mwh</t>
  </si>
  <si>
    <t>Efficiency</t>
  </si>
  <si>
    <t>Heat rate(mmbtu per MWh)</t>
  </si>
  <si>
    <t>CCS_storage_oil</t>
  </si>
  <si>
    <t>CCS_storage_saline</t>
  </si>
  <si>
    <t>CCS_storage_offshore</t>
  </si>
  <si>
    <t>Coal_CCS</t>
  </si>
  <si>
    <t>Coal_IGCC_CCS</t>
  </si>
  <si>
    <t>SMR_CCS</t>
  </si>
  <si>
    <t>Gasification_CCS</t>
  </si>
  <si>
    <t>coal</t>
  </si>
  <si>
    <t>capital cost per tonne co2 per year</t>
  </si>
  <si>
    <t>fixed</t>
  </si>
  <si>
    <t>CCS institute</t>
  </si>
  <si>
    <t>discount</t>
  </si>
  <si>
    <t>var</t>
  </si>
  <si>
    <t>capacity factor</t>
  </si>
  <si>
    <t>super critical</t>
  </si>
  <si>
    <t>super critical 2</t>
  </si>
  <si>
    <t>IGCC</t>
  </si>
  <si>
    <t>NGCC</t>
  </si>
  <si>
    <t>IPCC</t>
  </si>
  <si>
    <t>co2 capture per MWh</t>
  </si>
  <si>
    <t>capita cost per MW</t>
  </si>
  <si>
    <t>capital cost per tonn per year</t>
  </si>
  <si>
    <t>PC</t>
  </si>
  <si>
    <t>capital cost/mw</t>
  </si>
  <si>
    <t>co2 capacity/mw</t>
  </si>
  <si>
    <t>Fertilizer</t>
  </si>
  <si>
    <t>electricity per tonne</t>
  </si>
  <si>
    <t>CO2 tonne/mwh</t>
  </si>
  <si>
    <t>mwh</t>
  </si>
  <si>
    <t>ton</t>
  </si>
  <si>
    <t>ngcc</t>
  </si>
  <si>
    <t>h2</t>
  </si>
  <si>
    <t>Gas_CCGT_CCS</t>
  </si>
  <si>
    <t>Gas_Combustion_Turbine_CCS</t>
  </si>
  <si>
    <t>MWh/ton</t>
  </si>
  <si>
    <t>capital cost</t>
  </si>
  <si>
    <t>dollar/t CO2/hour</t>
  </si>
  <si>
    <t xml:space="preserve">OM </t>
  </si>
  <si>
    <t>1 MWh</t>
  </si>
  <si>
    <t>capital cost for 1 MW</t>
  </si>
  <si>
    <t>1 MW</t>
  </si>
  <si>
    <t>OM cost</t>
  </si>
  <si>
    <t>DAC</t>
  </si>
  <si>
    <t>capital</t>
  </si>
  <si>
    <t>Liquid</t>
  </si>
  <si>
    <t>efficiency</t>
  </si>
  <si>
    <t>inflation</t>
  </si>
  <si>
    <t>Euro to US</t>
  </si>
  <si>
    <t>charging efficiency</t>
  </si>
  <si>
    <t>factor</t>
  </si>
  <si>
    <t>inflacttion</t>
  </si>
  <si>
    <t>exchange rate</t>
  </si>
  <si>
    <t>Cost projection from Energy technology</t>
  </si>
  <si>
    <t>om</t>
  </si>
  <si>
    <t>$/MW</t>
  </si>
  <si>
    <t>CT</t>
  </si>
  <si>
    <t>https://www.in2013dollars.com/europe/inflation/2015?endYear=2021&amp;amount=100</t>
  </si>
  <si>
    <t>1997 data</t>
  </si>
  <si>
    <t>Inflaction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</si>
</sst>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5" formatCode="&quot;$&quot;#,##0_);\(&quot;$&quot;#,##0\)"/>
    <numFmt numFmtId="164" formatCode="&quot;$&quot;#,##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/>
      </top>
      <bottom style="thick">
        <color theme="0"/>
      </bottom>
      <diagonal/>
    </border>
    <border>
      <left/>
      <right/>
      <top style="thick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2" fillId="0" borderId="1" xfId="0" applyFont="1" applyBorder="1"/>
    <xf numFmtId="164" fontId="1" fillId="2" borderId="2" xfId="0" applyNumberFormat="1" applyFont="1" applyFill="1" applyBorder="1"/>
    <xf numFmtId="0" fontId="2" fillId="0" borderId="0" xfId="0" applyFont="1"/>
    <xf numFmtId="164" fontId="1" fillId="2" borderId="3" xfId="0" applyNumberFormat="1" applyFont="1" applyFill="1" applyBorder="1"/>
    <xf numFmtId="0" fontId="2" fillId="0" borderId="4" xfId="0" applyFont="1" applyBorder="1"/>
    <xf numFmtId="164" fontId="1" fillId="2" borderId="5" xfId="0" applyNumberFormat="1" applyFont="1" applyFill="1" applyBorder="1"/>
    <xf numFmtId="37" fontId="1" fillId="2" borderId="2" xfId="0" applyNumberFormat="1" applyFont="1" applyFill="1" applyBorder="1"/>
    <xf numFmtId="37" fontId="1" fillId="2" borderId="3" xfId="0" applyNumberFormat="1" applyFont="1" applyFill="1" applyBorder="1"/>
    <xf numFmtId="37" fontId="1" fillId="2" borderId="5" xfId="0" applyNumberFormat="1" applyFont="1" applyFill="1" applyBorder="1"/>
    <xf numFmtId="5" fontId="1" fillId="3" borderId="3" xfId="0" applyNumberFormat="1" applyFont="1" applyFill="1" applyBorder="1"/>
    <xf numFmtId="0" fontId="2" fillId="0" borderId="0" xfId="0" applyFont="1" applyFill="1" applyBorder="1"/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164" fontId="1" fillId="3" borderId="2" xfId="0" applyNumberFormat="1" applyFont="1" applyFill="1" applyBorder="1"/>
    <xf numFmtId="0" fontId="2" fillId="0" borderId="1" xfId="0" applyFont="1" applyFill="1" applyBorder="1" applyAlignment="1">
      <alignment horizontal="right"/>
    </xf>
    <xf numFmtId="164" fontId="1" fillId="3" borderId="6" xfId="0" applyNumberFormat="1" applyFont="1" applyFill="1" applyBorder="1"/>
    <xf numFmtId="0" fontId="2" fillId="0" borderId="0" xfId="0" applyFont="1" applyFill="1" applyAlignment="1">
      <alignment horizontal="right"/>
    </xf>
    <xf numFmtId="164" fontId="1" fillId="3" borderId="3" xfId="0" applyNumberFormat="1" applyFont="1" applyFill="1" applyBorder="1"/>
    <xf numFmtId="164" fontId="1" fillId="3" borderId="5" xfId="0" applyNumberFormat="1" applyFont="1" applyFill="1" applyBorder="1"/>
    <xf numFmtId="164" fontId="1" fillId="3" borderId="1" xfId="0" applyNumberFormat="1" applyFont="1" applyFill="1" applyBorder="1"/>
    <xf numFmtId="164" fontId="1" fillId="3" borderId="0" xfId="0" applyNumberFormat="1" applyFont="1" applyFill="1" applyBorder="1"/>
    <xf numFmtId="5" fontId="1" fillId="3" borderId="0" xfId="0" applyNumberFormat="1" applyFont="1" applyFill="1" applyBorder="1"/>
    <xf numFmtId="165" fontId="1" fillId="2" borderId="2" xfId="0" applyNumberFormat="1" applyFont="1" applyFill="1" applyBorder="1"/>
    <xf numFmtId="165" fontId="0" fillId="0" borderId="0" xfId="0" applyNumberFormat="1"/>
    <xf numFmtId="2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workbookViewId="0">
      <selection activeCell="V2" sqref="V2:V8"/>
    </sheetView>
  </sheetViews>
  <sheetFormatPr defaultRowHeight="15" x14ac:dyDescent="0.25"/>
  <cols>
    <col min="2" max="2" width="9.7109375" customWidth="1"/>
  </cols>
  <sheetData>
    <row r="1" spans="1:31" x14ac:dyDescent="0.25">
      <c r="A1" t="s">
        <v>1</v>
      </c>
      <c r="B1" t="s">
        <v>2</v>
      </c>
      <c r="C1" t="s">
        <v>33</v>
      </c>
      <c r="D1" t="s">
        <v>3</v>
      </c>
      <c r="E1" t="s">
        <v>4</v>
      </c>
      <c r="F1" t="s">
        <v>41</v>
      </c>
      <c r="G1" t="s">
        <v>115</v>
      </c>
      <c r="H1" t="s">
        <v>42</v>
      </c>
      <c r="I1" t="s">
        <v>114</v>
      </c>
      <c r="J1" t="s">
        <v>0</v>
      </c>
      <c r="K1" t="s">
        <v>5</v>
      </c>
      <c r="L1" t="s">
        <v>43</v>
      </c>
      <c r="M1" t="s">
        <v>85</v>
      </c>
      <c r="N1" t="s">
        <v>44</v>
      </c>
      <c r="O1" t="s">
        <v>86</v>
      </c>
      <c r="P1" t="s">
        <v>45</v>
      </c>
      <c r="Q1" t="s">
        <v>31</v>
      </c>
      <c r="R1" t="s">
        <v>32</v>
      </c>
      <c r="S1" t="s">
        <v>73</v>
      </c>
      <c r="T1" t="s">
        <v>87</v>
      </c>
      <c r="U1" t="s">
        <v>74</v>
      </c>
      <c r="V1" t="s">
        <v>88</v>
      </c>
      <c r="W1" t="s">
        <v>69</v>
      </c>
      <c r="X1" t="s">
        <v>53</v>
      </c>
      <c r="Y1" t="s">
        <v>46</v>
      </c>
      <c r="Z1" t="s">
        <v>52</v>
      </c>
      <c r="AA1" t="s">
        <v>68</v>
      </c>
      <c r="AB1" t="s">
        <v>82</v>
      </c>
      <c r="AC1" t="s">
        <v>83</v>
      </c>
      <c r="AD1" t="s">
        <v>84</v>
      </c>
      <c r="AE1" t="s">
        <v>124</v>
      </c>
    </row>
    <row r="2" spans="1:31" x14ac:dyDescent="0.25">
      <c r="A2">
        <v>2020</v>
      </c>
      <c r="B2">
        <f ca="1">OFFSET(battery!$F$15,(ROW(B1)-1)*5,0)*1000</f>
        <v>492307.69230769231</v>
      </c>
      <c r="C2">
        <f ca="1">OFFSET(battery!$C$15,(ROW(C1)-1)*5,0)*1000</f>
        <v>246153.84615384619</v>
      </c>
      <c r="D2">
        <f ca="1">OFFSET(Solar!$C$11,(ROW(D1)-1)*5,0)*1000</f>
        <v>628000</v>
      </c>
      <c r="E2">
        <f ca="1">OFFSET(Solar!$F$11,(ROW(Solar!E1)-1)*5,0)*1000</f>
        <v>746000</v>
      </c>
      <c r="F2">
        <f ca="1">OFFSET(gas!$C$18,(ROW(gas!C1)-1)*5,0)*1000</f>
        <v>367230.76923076925</v>
      </c>
      <c r="G2">
        <f>ccs!$H$6*ccs!$B$20*8760</f>
        <v>2957746.0687245196</v>
      </c>
      <c r="H2">
        <f ca="1">OFFSET(gas!$F$18,(ROW(gas!E1)-1)*5,0)*1000</f>
        <v>408913.25630284339</v>
      </c>
      <c r="I2">
        <f>ccs!$H$6*ccs!$B$20*8760</f>
        <v>2957746.0687245196</v>
      </c>
      <c r="J2">
        <f ca="1">OFFSET(land!$C$12,(ROW(J1)-1)*5,0)*1000</f>
        <v>1157000</v>
      </c>
      <c r="K2">
        <f ca="1">OFFSET(offshore!$K$13,(ROW(K1)-1)*5,0)*1000</f>
        <v>2857000</v>
      </c>
      <c r="L2">
        <f ca="1">OFFSET(coal!$C$20,(ROW(L1)-1)*5,0)*1000</f>
        <v>622461.5384615385</v>
      </c>
      <c r="M2">
        <f>ccs!$C$6*ccs!$B$20*8760</f>
        <v>3086497.8328173375</v>
      </c>
      <c r="N2">
        <f ca="1">OFFSET(coal!$F$20,(ROW(N1)-1)*5,0)*1000</f>
        <v>1089999.5099240381</v>
      </c>
      <c r="O2">
        <f>ccs!$F$6*ccs!$B$20*8760</f>
        <v>2342606.5839179712</v>
      </c>
      <c r="P2">
        <f ca="1">OFFSET(nuclear!$B$8,(ROW(P1)-1)*5,0)*1000</f>
        <v>2461538.4615384615</v>
      </c>
      <c r="Q2">
        <f>5969/6.5*1000</f>
        <v>918307.69230769225</v>
      </c>
      <c r="R2">
        <f>2240.15384615385*1000</f>
        <v>2240153.8461538497</v>
      </c>
      <c r="S2">
        <f>SMR!T2</f>
        <v>546556.72319999989</v>
      </c>
      <c r="T2">
        <f>ccs!$J$6*ccs!B$20*8760</f>
        <v>769681.34957825672</v>
      </c>
      <c r="U2">
        <f>SMR!V2</f>
        <v>3272268.8</v>
      </c>
      <c r="V2">
        <f>ccs!$J$6*ccs!B$20*8760</f>
        <v>769681.34957825672</v>
      </c>
      <c r="W2">
        <f ca="1">OFFSET(Electrolyzer!$C$2,(ROW(W1)-1)*5,0)*1000</f>
        <v>1245090</v>
      </c>
      <c r="X2">
        <f>'Fuel cell'!C2*1000</f>
        <v>1562022.0000000002</v>
      </c>
      <c r="Y2">
        <f ca="1">OFFSET('H2 turbine'!$B$12,(ROW(Z1)-1)*5,0)*1000</f>
        <v>314777.77777777775</v>
      </c>
      <c r="Z2">
        <f>'hydrogen storage'!B9</f>
        <v>69045.899999999994</v>
      </c>
      <c r="AA2">
        <f>'hydrogen storage'!D9</f>
        <v>3610.7609999999995</v>
      </c>
      <c r="AB2">
        <f>2.36*1.1*1.0928</f>
        <v>2.8369088000000002</v>
      </c>
      <c r="AC2">
        <f>AB2*2</f>
        <v>5.6738176000000005</v>
      </c>
      <c r="AD2">
        <f>3.89*1.1*1.0928</f>
        <v>4.676091200000001</v>
      </c>
      <c r="AE2">
        <f>DAC!$B$19*8760</f>
        <v>7357349.9999999991</v>
      </c>
    </row>
    <row r="3" spans="1:31" x14ac:dyDescent="0.25">
      <c r="A3">
        <v>2025</v>
      </c>
      <c r="B3">
        <f ca="1">OFFSET(battery!$F$15,(ROW(B2)-1)*5,0)*1000</f>
        <v>474606.98277086945</v>
      </c>
      <c r="C3">
        <f ca="1">OFFSET(battery!$C$15,(ROW(C2)-1)*5,0)*1000</f>
        <v>219340.5647717136</v>
      </c>
      <c r="D3">
        <f ca="1">OFFSET(Solar!$C$11,(ROW(D2)-1)*5,0)*1000</f>
        <v>607009.57568009151</v>
      </c>
      <c r="E3">
        <f ca="1">OFFSET(Solar!$F$11,(ROW(Solar!E2)-1)*5,0)*1000</f>
        <v>686543.82764240284</v>
      </c>
      <c r="F3">
        <f ca="1">OFFSET(gas!$C$18,(ROW(gas!C2)-1)*5,0)*1000</f>
        <v>358513.34223327041</v>
      </c>
      <c r="G3">
        <f>ccs!$H$6*ccs!$B$20*8760</f>
        <v>2957746.0687245196</v>
      </c>
      <c r="H3">
        <f ca="1">OFFSET(gas!$F$18,(ROW(gas!E2)-1)*5,0)*1000</f>
        <v>398327.80923445197</v>
      </c>
      <c r="I3">
        <f>ccs!$H$6*ccs!$B$20*8760</f>
        <v>2957746.0687245196</v>
      </c>
      <c r="J3">
        <f ca="1">OFFSET(land!$C$12,(ROW(J2)-1)*5,0)*1000</f>
        <v>1076640.9880166219</v>
      </c>
      <c r="K3">
        <f ca="1">OFFSET(offshore!$K$13,(ROW(K2)-1)*5,0)*1000</f>
        <v>2492043.9563389542</v>
      </c>
      <c r="L3">
        <f ca="1">OFFSET(coal!$C$20,(ROW(L2)-1)*5,0)*1000</f>
        <v>612285.82738016697</v>
      </c>
      <c r="M3">
        <f>ccs!$C$6*ccs!$B$20*8760</f>
        <v>3086497.8328173375</v>
      </c>
      <c r="N3">
        <f ca="1">OFFSET(coal!$F$20,(ROW(N2)-1)*5,0)*1000</f>
        <v>1083549.8086818843</v>
      </c>
      <c r="O3">
        <f>ccs!$F$6*ccs!$B$20*8760</f>
        <v>2342606.5839179712</v>
      </c>
      <c r="P3">
        <f ca="1">OFFSET(nuclear!$B$8,(ROW(P2)-1)*5,0)*1000</f>
        <v>2113664.33502365</v>
      </c>
      <c r="Q3">
        <f t="shared" ref="Q3:Q8" si="0">5969/6.5*1000</f>
        <v>918307.69230769225</v>
      </c>
      <c r="R3">
        <f t="shared" ref="R3:R8" si="1">2240.15384615385*1000</f>
        <v>2240153.8461538497</v>
      </c>
      <c r="S3">
        <f>SMR!T3</f>
        <v>533582.40641149005</v>
      </c>
      <c r="T3">
        <f>ccs!$J$6*ccs!B$20*8760</f>
        <v>769681.34957825672</v>
      </c>
      <c r="U3">
        <f>SMR!V3</f>
        <v>3218775.2749676201</v>
      </c>
      <c r="V3">
        <f>ccs!$J$6*ccs!B$20*8760</f>
        <v>769681.34957825672</v>
      </c>
      <c r="W3">
        <f ca="1">OFFSET(Electrolyzer!$C$2,(ROW(W2)-1)*5,0)*1000</f>
        <v>905520</v>
      </c>
      <c r="X3">
        <f>'Fuel cell'!C3*1000</f>
        <v>1443172.5000000002</v>
      </c>
      <c r="Y3">
        <f ca="1">OFFSET('H2 turbine'!$B$12,(ROW(Z2)-1)*5,0)*1000</f>
        <v>313166.66666666669</v>
      </c>
      <c r="Z3">
        <f>'hydrogen storage'!B10</f>
        <v>61688.549999999996</v>
      </c>
      <c r="AA3">
        <f>'hydrogen storage'!D10</f>
        <v>3010.8539999999994</v>
      </c>
      <c r="AB3">
        <f t="shared" ref="AB3:AB8" si="2">2.36*1.1*1.0928</f>
        <v>2.8369088000000002</v>
      </c>
      <c r="AC3">
        <f t="shared" ref="AC3:AC8" si="3">AB3*2</f>
        <v>5.6738176000000005</v>
      </c>
      <c r="AD3">
        <f t="shared" ref="AD3:AD8" si="4">3.89*1.1*1.0928</f>
        <v>4.676091200000001</v>
      </c>
      <c r="AE3">
        <f>DAC!$B$19*8760</f>
        <v>7357349.9999999991</v>
      </c>
    </row>
    <row r="4" spans="1:31" x14ac:dyDescent="0.25">
      <c r="A4">
        <v>2030</v>
      </c>
      <c r="B4">
        <f ca="1">OFFSET(battery!$F$15,(ROW(B3)-1)*5,0)*1000</f>
        <v>483790.42077117879</v>
      </c>
      <c r="C4">
        <f ca="1">OFFSET(battery!$C$15,(ROW(C3)-1)*5,0)*1000</f>
        <v>173879.94718483053</v>
      </c>
      <c r="D4">
        <f ca="1">OFFSET(Solar!$C$11,(ROW(D3)-1)*5,0)*1000</f>
        <v>505217.02450861299</v>
      </c>
      <c r="E4">
        <f ca="1">OFFSET(Solar!$F$11,(ROW(Solar!E3)-1)*5,0)*1000</f>
        <v>548996.59879898466</v>
      </c>
      <c r="F4">
        <f ca="1">OFFSET(gas!$C$18,(ROW(gas!C3)-1)*5,0)*1000</f>
        <v>344008.71580045728</v>
      </c>
      <c r="G4">
        <f>ccs!$H$6*ccs!$B$20*8760</f>
        <v>2957746.0687245196</v>
      </c>
      <c r="H4">
        <f ca="1">OFFSET(gas!$F$18,(ROW(gas!E3)-1)*5,0)*1000</f>
        <v>380673.18817229051</v>
      </c>
      <c r="I4">
        <f>ccs!$H$6*ccs!$B$20*8760</f>
        <v>2957746.0687245196</v>
      </c>
      <c r="J4">
        <f ca="1">OFFSET(land!$C$12,(ROW(J3)-1)*5,0)*1000</f>
        <v>976192.22303741041</v>
      </c>
      <c r="K4">
        <f ca="1">OFFSET(offshore!$K$13,(ROW(K3)-1)*5,0)*1000</f>
        <v>2290687.2747561219</v>
      </c>
      <c r="L4">
        <f ca="1">OFFSET(coal!$C$20,(ROW(L3)-1)*5,0)*1000</f>
        <v>595355.36161951255</v>
      </c>
      <c r="M4">
        <f>ccs!$C$6*ccs!$B$20*8760</f>
        <v>3086497.8328173375</v>
      </c>
      <c r="N4">
        <f ca="1">OFFSET(coal!$F$20,(ROW(N3)-1)*5,0)*1000</f>
        <v>1072807.5697887018</v>
      </c>
      <c r="O4">
        <f>ccs!$F$6*ccs!$B$20*8760</f>
        <v>2342606.5839179712</v>
      </c>
      <c r="P4">
        <f ca="1">OFFSET(nuclear!$B$8,(ROW(P3)-1)*5,0)*1000</f>
        <v>2015507.9702320395</v>
      </c>
      <c r="Q4">
        <f t="shared" si="0"/>
        <v>918307.69230769225</v>
      </c>
      <c r="R4">
        <f t="shared" si="1"/>
        <v>2240153.8461538497</v>
      </c>
      <c r="S4">
        <f>SMR!T4</f>
        <v>511994.88772136444</v>
      </c>
      <c r="T4">
        <f>ccs!$J$6*ccs!B$20*8760</f>
        <v>769681.34957825672</v>
      </c>
      <c r="U4">
        <f>SMR!V4</f>
        <v>3129772.1294640666</v>
      </c>
      <c r="V4">
        <f>ccs!$J$6*ccs!B$20*8760</f>
        <v>769681.34957825672</v>
      </c>
      <c r="W4">
        <f ca="1">OFFSET(Electrolyzer!$C$2,(ROW(W3)-1)*5,0)*1000</f>
        <v>565950</v>
      </c>
      <c r="X4">
        <f>'Fuel cell'!C4*1000</f>
        <v>1324322.9999999998</v>
      </c>
      <c r="Y4">
        <f ca="1">OFFSET('H2 turbine'!$B$12,(ROW(Z3)-1)*5,0)*1000</f>
        <v>311555.55555555556</v>
      </c>
      <c r="Z4">
        <f>'hydrogen storage'!B11</f>
        <v>54331.199999999997</v>
      </c>
      <c r="AA4">
        <f>'hydrogen storage'!D11</f>
        <v>2410.9469999999997</v>
      </c>
      <c r="AB4">
        <f t="shared" si="2"/>
        <v>2.8369088000000002</v>
      </c>
      <c r="AC4">
        <f t="shared" si="3"/>
        <v>5.6738176000000005</v>
      </c>
      <c r="AD4">
        <f t="shared" si="4"/>
        <v>4.676091200000001</v>
      </c>
      <c r="AE4">
        <f>DAC!$B$19*8760</f>
        <v>7357349.9999999991</v>
      </c>
    </row>
    <row r="5" spans="1:31" x14ac:dyDescent="0.25">
      <c r="A5">
        <v>2035</v>
      </c>
      <c r="B5">
        <f ca="1">OFFSET(battery!$F$15,(ROW(B4)-1)*5,0)*1000</f>
        <v>467109.57439716003</v>
      </c>
      <c r="C5">
        <f ca="1">OFFSET(battery!$C$15,(ROW(C4)-1)*5,0)*1000</f>
        <v>158078.00013369246</v>
      </c>
      <c r="D5">
        <f ca="1">OFFSET(Solar!$C$11,(ROW(D4)-1)*5,0)*1000</f>
        <v>403424.47333713423</v>
      </c>
      <c r="E5">
        <f ca="1">OFFSET(Solar!$F$11,(ROW(Solar!E4)-1)*5,0)*1000</f>
        <v>411449.36995556689</v>
      </c>
      <c r="F5">
        <f ca="1">OFFSET(gas!$C$18,(ROW(gas!C4)-1)*5,0)*1000</f>
        <v>329504.08936764416</v>
      </c>
      <c r="G5">
        <f>ccs!$H$6*ccs!$B$20*8760</f>
        <v>2957746.0687245196</v>
      </c>
      <c r="H5">
        <f ca="1">OFFSET(gas!$F$18,(ROW(gas!E4)-1)*5,0)*1000</f>
        <v>363018.56711012905</v>
      </c>
      <c r="I5">
        <f>ccs!$H$6*ccs!$B$20*8760</f>
        <v>2957746.0687245196</v>
      </c>
      <c r="J5">
        <f ca="1">OFFSET(land!$C$12,(ROW(J4)-1)*5,0)*1000</f>
        <v>928132.1851528117</v>
      </c>
      <c r="K5">
        <f ca="1">OFFSET(offshore!$K$13,(ROW(K4)-1)*5,0)*1000</f>
        <v>2166215.1199255665</v>
      </c>
      <c r="L5">
        <f ca="1">OFFSET(coal!$C$20,(ROW(L4)-1)*5,0)*1000</f>
        <v>578403.10632763465</v>
      </c>
      <c r="M5">
        <f>ccs!$C$6*ccs!$B$20*8760</f>
        <v>3086497.8328173375</v>
      </c>
      <c r="N5">
        <f ca="1">OFFSET(coal!$F$20,(ROW(N4)-1)*5,0)*1000</f>
        <v>1062087.1204267431</v>
      </c>
      <c r="O5">
        <f>ccs!$F$6*ccs!$B$20*8760</f>
        <v>2342606.5839179712</v>
      </c>
      <c r="P5">
        <f ca="1">OFFSET(nuclear!$B$8,(ROW(P4)-1)*5,0)*1000</f>
        <v>1948571.2220878473</v>
      </c>
      <c r="Q5">
        <f t="shared" si="0"/>
        <v>918307.69230769225</v>
      </c>
      <c r="R5">
        <f t="shared" si="1"/>
        <v>2240153.8461538497</v>
      </c>
      <c r="S5">
        <f>SMR!T5</f>
        <v>490407.36903123878</v>
      </c>
      <c r="T5">
        <f>ccs!$J$6*ccs!B$20*8760</f>
        <v>769681.34957825672</v>
      </c>
      <c r="U5">
        <f>SMR!V5</f>
        <v>3040654.4367977036</v>
      </c>
      <c r="V5">
        <f>ccs!$J$6*ccs!B$20*8760</f>
        <v>769681.34957825672</v>
      </c>
      <c r="W5">
        <f ca="1">OFFSET(Electrolyzer!$C$2,(ROW(W4)-1)*5,0)*1000</f>
        <v>694166.66666666674</v>
      </c>
      <c r="X5">
        <f>'Fuel cell'!C5*1000</f>
        <v>1233771</v>
      </c>
      <c r="Y5">
        <f ca="1">OFFSET('H2 turbine'!$B$12,(ROW(Z4)-1)*5,0)*1000</f>
        <v>309944.44444444444</v>
      </c>
      <c r="Z5">
        <f>'hydrogen storage'!B12</f>
        <v>43578.149999999994</v>
      </c>
      <c r="AA5">
        <f>'hydrogen storage'!D12</f>
        <v>2110.9934999999996</v>
      </c>
      <c r="AB5">
        <f t="shared" si="2"/>
        <v>2.8369088000000002</v>
      </c>
      <c r="AC5">
        <f t="shared" si="3"/>
        <v>5.6738176000000005</v>
      </c>
      <c r="AD5">
        <f t="shared" si="4"/>
        <v>4.676091200000001</v>
      </c>
      <c r="AE5">
        <f>DAC!$B$19*8760</f>
        <v>7357349.9999999991</v>
      </c>
    </row>
    <row r="6" spans="1:31" x14ac:dyDescent="0.25">
      <c r="A6">
        <v>2040</v>
      </c>
      <c r="B6">
        <f ca="1">OFFSET(battery!$F$15,(ROW(B5)-1)*5,0)*1000</f>
        <v>449709.83080580318</v>
      </c>
      <c r="C6">
        <f ca="1">OFFSET(battery!$C$15,(ROW(C5)-1)*5,0)*1000</f>
        <v>142362.73941461253</v>
      </c>
      <c r="D6">
        <f ca="1">OFFSET(Solar!$C$11,(ROW(D5)-1)*5,0)*1000</f>
        <v>371518.84230403125</v>
      </c>
      <c r="E6">
        <f ca="1">OFFSET(Solar!$F$11,(ROW(Solar!E5)-1)*5,0)*1000</f>
        <v>371597.40062988061</v>
      </c>
      <c r="F6">
        <f ca="1">OFFSET(gas!$C$18,(ROW(gas!C5)-1)*5,0)*1000</f>
        <v>314962.83509030374</v>
      </c>
      <c r="G6">
        <f>ccs!$H$6*ccs!$B$20*8760</f>
        <v>2957746.0687245196</v>
      </c>
      <c r="H6">
        <f ca="1">OFFSET(gas!$F$18,(ROW(gas!E5)-1)*5,0)*1000</f>
        <v>348074.4065429882</v>
      </c>
      <c r="I6">
        <f>ccs!$H$6*ccs!$B$20*8760</f>
        <v>2957746.0687245196</v>
      </c>
      <c r="J6">
        <f ca="1">OFFSET(land!$C$12,(ROW(J5)-1)*5,0)*1000</f>
        <v>880072.14726822276</v>
      </c>
      <c r="K6">
        <f ca="1">OFFSET(offshore!$K$13,(ROW(K5)-1)*5,0)*1000</f>
        <v>2075879.4719771212</v>
      </c>
      <c r="L6">
        <f ca="1">OFFSET(coal!$C$20,(ROW(L5)-1)*5,0)*1000</f>
        <v>550665.03308012744</v>
      </c>
      <c r="M6">
        <f>ccs!$C$6*ccs!$B$20*8760</f>
        <v>3086497.8328173375</v>
      </c>
      <c r="N6">
        <f ca="1">OFFSET(coal!$F$20,(ROW(N5)-1)*5,0)*1000</f>
        <v>1051344.8815335608</v>
      </c>
      <c r="O6">
        <f>ccs!$F$6*ccs!$B$20*8760</f>
        <v>2342606.5839179712</v>
      </c>
      <c r="P6">
        <f ca="1">OFFSET(nuclear!$B$8,(ROW(P5)-1)*5,0)*1000</f>
        <v>1879782.7212859497</v>
      </c>
      <c r="Q6">
        <f t="shared" si="0"/>
        <v>918307.69230769225</v>
      </c>
      <c r="R6">
        <f t="shared" si="1"/>
        <v>2240153.8461538497</v>
      </c>
      <c r="S6">
        <f>SMR!T6</f>
        <v>468765.3364050269</v>
      </c>
      <c r="T6">
        <f>ccs!$J$6*ccs!B$20*8760</f>
        <v>769681.34957825672</v>
      </c>
      <c r="U6">
        <f>SMR!V6</f>
        <v>2894835.8985402733</v>
      </c>
      <c r="V6">
        <f>ccs!$J$6*ccs!B$20*8760</f>
        <v>769681.34957825672</v>
      </c>
      <c r="W6">
        <f ca="1">OFFSET(Electrolyzer!$C$2,(ROW(W5)-1)*5,0)*1000</f>
        <v>452760</v>
      </c>
      <c r="X6">
        <f>'Fuel cell'!C6*1000</f>
        <v>1143219</v>
      </c>
      <c r="Y6">
        <f ca="1">OFFSET('H2 turbine'!$B$12,(ROW(Z5)-1)*5,0)*1000</f>
        <v>308333.33333333331</v>
      </c>
      <c r="Z6">
        <f>'hydrogen storage'!B13</f>
        <v>32825.1</v>
      </c>
      <c r="AA6">
        <f>'hydrogen storage'!D13</f>
        <v>1811.04</v>
      </c>
      <c r="AB6">
        <f t="shared" si="2"/>
        <v>2.8369088000000002</v>
      </c>
      <c r="AC6">
        <f t="shared" si="3"/>
        <v>5.6738176000000005</v>
      </c>
      <c r="AD6">
        <f t="shared" si="4"/>
        <v>4.676091200000001</v>
      </c>
      <c r="AE6">
        <f>DAC!$B$19*8760</f>
        <v>7357349.9999999991</v>
      </c>
    </row>
    <row r="7" spans="1:31" x14ac:dyDescent="0.25">
      <c r="A7">
        <v>2045</v>
      </c>
      <c r="B7">
        <f ca="1">OFFSET(battery!$F$15,(ROW(B6)-1)*5,0)*1000</f>
        <v>431425.30164641637</v>
      </c>
      <c r="C7">
        <f ca="1">OFFSET(battery!$C$15,(ROW(C6)-1)*5,0)*1000</f>
        <v>126754.16823848918</v>
      </c>
      <c r="D7">
        <f ca="1">OFFSET(Solar!$C$11,(ROW(D6)-1)*5,0)*1000</f>
        <v>339613.21127092832</v>
      </c>
      <c r="E7">
        <f ca="1">OFFSET(Solar!$F$11,(ROW(Solar!E6)-1)*5,0)*1000</f>
        <v>331745.43130419438</v>
      </c>
      <c r="F7">
        <f ca="1">OFFSET(gas!$C$18,(ROW(gas!C6)-1)*5,0)*1000</f>
        <v>300458.2086574905</v>
      </c>
      <c r="G7">
        <f>ccs!$H$6*ccs!$B$20*8760</f>
        <v>2957746.0687245196</v>
      </c>
      <c r="H7">
        <f ca="1">OFFSET(gas!$F$18,(ROW(gas!E6)-1)*5,0)*1000</f>
        <v>333130.24597584741</v>
      </c>
      <c r="I7">
        <f>ccs!$H$6*ccs!$B$20*8760</f>
        <v>2957746.0687245196</v>
      </c>
      <c r="J7">
        <f ca="1">OFFSET(land!$C$12,(ROW(J6)-1)*5,0)*1000</f>
        <v>832012.10938362509</v>
      </c>
      <c r="K7">
        <f ca="1">OFFSET(offshore!$K$13,(ROW(K6)-1)*5,0)*1000</f>
        <v>2004930.7310270788</v>
      </c>
      <c r="L7">
        <f ca="1">OFFSET(coal!$C$20,(ROW(L6)-1)*5,0)*1000</f>
        <v>522948.7493638437</v>
      </c>
      <c r="M7">
        <f>ccs!$C$6*ccs!$B$20*8760</f>
        <v>3086497.8328173375</v>
      </c>
      <c r="N7">
        <f ca="1">OFFSET(coal!$F$20,(ROW(N6)-1)*5,0)*1000</f>
        <v>1040624.4321716022</v>
      </c>
      <c r="O7">
        <f>ccs!$F$6*ccs!$B$20*8760</f>
        <v>2342606.5839179712</v>
      </c>
      <c r="P7">
        <f ca="1">OFFSET(nuclear!$B$8,(ROW(P6)-1)*5,0)*1000</f>
        <v>1815208.0930648863</v>
      </c>
      <c r="Q7">
        <f t="shared" si="0"/>
        <v>918307.69230769225</v>
      </c>
      <c r="R7">
        <f t="shared" si="1"/>
        <v>2240153.8461538497</v>
      </c>
      <c r="S7">
        <f>SMR!T7</f>
        <v>447177.81771490118</v>
      </c>
      <c r="T7">
        <f>ccs!$J$6*ccs!B$20*8760</f>
        <v>769681.34957825672</v>
      </c>
      <c r="U7">
        <f>SMR!V7</f>
        <v>2749131.9074456538</v>
      </c>
      <c r="V7">
        <f>ccs!$J$6*ccs!B$20*8760</f>
        <v>769681.34957825672</v>
      </c>
      <c r="W7">
        <f ca="1">OFFSET(Electrolyzer!$C$2,(ROW(W6)-1)*5,0)*1000</f>
        <v>639833.33333333349</v>
      </c>
      <c r="X7">
        <f>'Fuel cell'!C7*1000</f>
        <v>1052667.0000000002</v>
      </c>
      <c r="Y7">
        <f ca="1">OFFSET('H2 turbine'!$B$12,(ROW(Z6)-1)*5,0)*1000</f>
        <v>306722.22222222225</v>
      </c>
      <c r="Z7">
        <f>'hydrogen storage'!B14</f>
        <v>28863.449999999997</v>
      </c>
      <c r="AA7">
        <f>'hydrogen storage'!D14</f>
        <v>1629.9359999999999</v>
      </c>
      <c r="AB7">
        <f t="shared" si="2"/>
        <v>2.8369088000000002</v>
      </c>
      <c r="AC7">
        <f t="shared" si="3"/>
        <v>5.6738176000000005</v>
      </c>
      <c r="AD7">
        <f t="shared" si="4"/>
        <v>4.676091200000001</v>
      </c>
      <c r="AE7">
        <f>DAC!$B$19*8760</f>
        <v>7357349.9999999991</v>
      </c>
    </row>
    <row r="8" spans="1:31" x14ac:dyDescent="0.25">
      <c r="A8">
        <v>2050</v>
      </c>
      <c r="B8">
        <f ca="1">OFFSET(battery!$F$15,(ROW(B7)-1)*5,0)*1000</f>
        <v>412034.80642593093</v>
      </c>
      <c r="C8">
        <f ca="1">OFFSET(battery!$C$15,(ROW(C7)-1)*5,0)*1000</f>
        <v>111278.95707392975</v>
      </c>
      <c r="D8">
        <f ca="1">OFFSET(Solar!$C$11,(ROW(D7)-1)*5,0)*1000</f>
        <v>307707.58023782534</v>
      </c>
      <c r="E8">
        <f ca="1">OFFSET(Solar!$F$11,(ROW(Solar!E7)-1)*5,0)*1000</f>
        <v>291893.46197850793</v>
      </c>
      <c r="F8">
        <f ca="1">OFFSET(gas!$C$18,(ROW(gas!C7)-1)*5,0)*1000</f>
        <v>285953.58222467743</v>
      </c>
      <c r="G8">
        <f>ccs!$H$6*ccs!$B$20*8760</f>
        <v>2957746.0687245196</v>
      </c>
      <c r="H8">
        <f ca="1">OFFSET(gas!$F$18,(ROW(gas!E7)-1)*5,0)*1000</f>
        <v>318222.71325323387</v>
      </c>
      <c r="I8">
        <f>ccs!$H$6*ccs!$B$20*8760</f>
        <v>2957746.0687245196</v>
      </c>
      <c r="J8">
        <f ca="1">OFFSET(land!$C$12,(ROW(J7)-1)*5,0)*1000</f>
        <v>783952.07149902824</v>
      </c>
      <c r="K8">
        <f ca="1">OFFSET(offshore!$K$13,(ROW(K7)-1)*5,0)*1000</f>
        <v>1946500.3253128789</v>
      </c>
      <c r="L8">
        <f ca="1">OFFSET(coal!$C$20,(ROW(L7)-1)*5,0)*1000</f>
        <v>495210.67611633649</v>
      </c>
      <c r="M8">
        <f>ccs!$C$6*ccs!$B$20*8760</f>
        <v>3086497.8328173375</v>
      </c>
      <c r="N8">
        <f ca="1">OFFSET(coal!$F$20,(ROW(N7)-1)*5,0)*1000</f>
        <v>1029882.1932784199</v>
      </c>
      <c r="O8">
        <f>ccs!$F$6*ccs!$B$20*8760</f>
        <v>2342606.5839179712</v>
      </c>
      <c r="P8">
        <f ca="1">OFFSET(nuclear!$B$8,(ROW(P7)-1)*5,0)*1000</f>
        <v>1738729.5618643423</v>
      </c>
      <c r="Q8">
        <f t="shared" si="0"/>
        <v>918307.69230769225</v>
      </c>
      <c r="R8">
        <f t="shared" si="1"/>
        <v>2240153.8461538497</v>
      </c>
      <c r="S8">
        <f>SMR!T8</f>
        <v>425590.29902477557</v>
      </c>
      <c r="T8">
        <f>ccs!$J$6*ccs!B$20*8760</f>
        <v>769681.34957825672</v>
      </c>
      <c r="U8">
        <f>SMR!V8</f>
        <v>2603313.369188224</v>
      </c>
      <c r="V8">
        <f>ccs!$J$6*ccs!B$20*8760</f>
        <v>769681.34957825672</v>
      </c>
      <c r="W8">
        <f ca="1">OFFSET(Electrolyzer!$C$2,(ROW(W7)-1)*5,0)*1000</f>
        <v>311272.5</v>
      </c>
      <c r="X8">
        <f>'Fuel cell'!C8*1000</f>
        <v>962114.99999999988</v>
      </c>
      <c r="Y8">
        <f ca="1">OFFSET('H2 turbine'!$B$12,(ROW(Z7)-1)*5,0)*1000</f>
        <v>305111.11111111112</v>
      </c>
      <c r="Z8">
        <f>'hydrogen storage'!B15</f>
        <v>24901.8</v>
      </c>
      <c r="AA8">
        <f>'hydrogen storage'!D15</f>
        <v>1448.8319999999999</v>
      </c>
      <c r="AB8">
        <f t="shared" si="2"/>
        <v>2.8369088000000002</v>
      </c>
      <c r="AC8">
        <f t="shared" si="3"/>
        <v>5.6738176000000005</v>
      </c>
      <c r="AD8">
        <f t="shared" si="4"/>
        <v>4.676091200000001</v>
      </c>
      <c r="AE8">
        <f>DAC!$B$19*8760</f>
        <v>7357349.9999999991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topLeftCell="K1" workbookViewId="0">
      <selection activeCell="AD2" sqref="AD2"/>
    </sheetView>
  </sheetViews>
  <sheetFormatPr defaultRowHeight="15" x14ac:dyDescent="0.25"/>
  <cols>
    <col min="2" max="2" width="9.7109375" customWidth="1"/>
  </cols>
  <sheetData>
    <row r="1" spans="1:31" x14ac:dyDescent="0.25">
      <c r="A1" t="s">
        <v>1</v>
      </c>
      <c r="B1" t="s">
        <v>2</v>
      </c>
      <c r="C1" t="s">
        <v>33</v>
      </c>
      <c r="D1" t="s">
        <v>3</v>
      </c>
      <c r="E1" t="s">
        <v>4</v>
      </c>
      <c r="F1" t="s">
        <v>41</v>
      </c>
      <c r="G1" t="s">
        <v>115</v>
      </c>
      <c r="H1" t="s">
        <v>42</v>
      </c>
      <c r="I1" t="s">
        <v>114</v>
      </c>
      <c r="J1" t="s">
        <v>0</v>
      </c>
      <c r="K1" t="s">
        <v>5</v>
      </c>
      <c r="L1" t="s">
        <v>43</v>
      </c>
      <c r="M1" t="s">
        <v>85</v>
      </c>
      <c r="N1" t="s">
        <v>44</v>
      </c>
      <c r="O1" t="s">
        <v>86</v>
      </c>
      <c r="P1" t="s">
        <v>45</v>
      </c>
      <c r="Q1" t="s">
        <v>31</v>
      </c>
      <c r="R1" t="s">
        <v>32</v>
      </c>
      <c r="S1" t="s">
        <v>73</v>
      </c>
      <c r="T1" t="s">
        <v>87</v>
      </c>
      <c r="U1" t="s">
        <v>74</v>
      </c>
      <c r="V1" t="s">
        <v>88</v>
      </c>
      <c r="W1" t="s">
        <v>69</v>
      </c>
      <c r="X1" t="s">
        <v>53</v>
      </c>
      <c r="Y1" t="s">
        <v>46</v>
      </c>
      <c r="Z1" t="s">
        <v>52</v>
      </c>
      <c r="AA1" t="s">
        <v>68</v>
      </c>
      <c r="AB1" t="s">
        <v>82</v>
      </c>
      <c r="AC1" t="s">
        <v>83</v>
      </c>
      <c r="AD1" t="s">
        <v>84</v>
      </c>
      <c r="AE1" t="s">
        <v>124</v>
      </c>
    </row>
    <row r="2" spans="1:31" x14ac:dyDescent="0.25">
      <c r="A2">
        <v>2020</v>
      </c>
      <c r="B2">
        <f ca="1">OFFSET(battery!$F$15,(ROW(B1)-1)*5,0)*1000</f>
        <v>492307.69230769231</v>
      </c>
      <c r="C2">
        <f ca="1">OFFSET(battery!$C$15,(ROW(C1)-1)*5,0)*1000</f>
        <v>246153.84615384619</v>
      </c>
      <c r="D2">
        <f ca="1">OFFSET(Solar!$C$11,(ROW(D1)-1)*5,0)*1000</f>
        <v>628000</v>
      </c>
      <c r="E2">
        <f ca="1">OFFSET(Solar!$F$11,(ROW(Solar!E1)-1)*5,0)*1000</f>
        <v>746000</v>
      </c>
      <c r="F2">
        <f ca="1">OFFSET(gas!$C$18,(ROW(gas!C1)-1)*5,0)*1000</f>
        <v>367230.76923076925</v>
      </c>
      <c r="G2">
        <f>ccs!$H$6*ccs!B20*8760</f>
        <v>2957746.0687245196</v>
      </c>
      <c r="H2">
        <f ca="1">OFFSET(gas!$F$18,(ROW(gas!E1)-1)*5,0)*1000</f>
        <v>408913.25630284339</v>
      </c>
      <c r="I2">
        <f>ccs!$H$6*ccs!B20*8760</f>
        <v>2957746.0687245196</v>
      </c>
      <c r="J2">
        <f ca="1">OFFSET(land!$C$12,(ROW(J1)-1)*5,0)*1000</f>
        <v>1157000</v>
      </c>
      <c r="K2">
        <f ca="1">OFFSET(offshore!$K$13,(ROW(K1)-1)*5,0)*1000</f>
        <v>2857000</v>
      </c>
      <c r="L2">
        <f ca="1">OFFSET(coal!$C$20,(ROW(L1)-1)*5,0)*1000</f>
        <v>622461.5384615385</v>
      </c>
      <c r="M2">
        <f>ccs!$C$6*ccs!B20*8760</f>
        <v>3086497.8328173375</v>
      </c>
      <c r="N2">
        <f ca="1">OFFSET(coal!$F$20,(ROW(N1)-1)*5,0)*1000</f>
        <v>1089999.5099240381</v>
      </c>
      <c r="O2">
        <f>ccs!$F$6*ccs!B20*8760</f>
        <v>2342606.5839179712</v>
      </c>
      <c r="P2">
        <f ca="1">OFFSET(nuclear!$B$8,(ROW(P1)-1)*5,0)*1000</f>
        <v>2461538.4615384615</v>
      </c>
      <c r="Q2">
        <f>5969/6.5*1000</f>
        <v>918307.69230769225</v>
      </c>
      <c r="R2">
        <f>2240.15384615385*1000</f>
        <v>2240153.8461538497</v>
      </c>
      <c r="S2">
        <f>SMR!T2</f>
        <v>546556.72319999989</v>
      </c>
      <c r="T2">
        <f>ccs!$J$6*ccs!B20*8760</f>
        <v>769681.34957825672</v>
      </c>
      <c r="U2">
        <f>SMR!V2</f>
        <v>3272268.8</v>
      </c>
      <c r="V2">
        <f>ccs!$J$6*ccs!B20*8760</f>
        <v>769681.34957825672</v>
      </c>
      <c r="W2">
        <f ca="1">OFFSET(Electrolyzer!$C$2,(ROW(W1)-1)*5,0)*1000</f>
        <v>1245090</v>
      </c>
      <c r="X2">
        <f>'Fuel cell'!C2*1000</f>
        <v>1562022.0000000002</v>
      </c>
      <c r="Y2">
        <f ca="1">OFFSET('H2 turbine'!$B$12,(ROW(Z1)-1)*5,0)*1000</f>
        <v>314777.77777777775</v>
      </c>
      <c r="Z2">
        <f>'hydrogen storage'!B9</f>
        <v>69045.899999999994</v>
      </c>
      <c r="AA2">
        <f>'hydrogen storage'!D9</f>
        <v>3610.7609999999995</v>
      </c>
      <c r="AB2">
        <f>2.36*1.1*1.0928</f>
        <v>2.8369088000000002</v>
      </c>
      <c r="AC2">
        <f>AB2*2</f>
        <v>5.6738176000000005</v>
      </c>
      <c r="AD2">
        <f>3.89*1.1*1.0928</f>
        <v>4.676091200000001</v>
      </c>
      <c r="AE2">
        <f>DAC!B19*8760</f>
        <v>7357349.9999999991</v>
      </c>
    </row>
    <row r="3" spans="1:31" x14ac:dyDescent="0.25">
      <c r="A3">
        <v>2025</v>
      </c>
      <c r="B3">
        <f ca="1">OFFSET(battery!$F$15,(ROW(B2)-1)*5,0)*1000</f>
        <v>474606.98277086945</v>
      </c>
      <c r="C3">
        <f ca="1">OFFSET(battery!$C$15,(ROW(C2)-1)*5,0)*1000</f>
        <v>219340.5647717136</v>
      </c>
      <c r="D3">
        <f ca="1">OFFSET(Solar!$C$11,(ROW(D2)-1)*5,0)*1000</f>
        <v>607009.57568009151</v>
      </c>
      <c r="E3">
        <f ca="1">OFFSET(Solar!$F$11,(ROW(Solar!E2)-1)*5,0)*1000</f>
        <v>686543.82764240284</v>
      </c>
      <c r="F3">
        <f ca="1">OFFSET(gas!$C$18,(ROW(gas!C2)-1)*5,0)*1000</f>
        <v>358513.34223327041</v>
      </c>
      <c r="G3">
        <f>ccs!$H$6*ccs!B21*8760</f>
        <v>2063543.7688775717</v>
      </c>
      <c r="H3">
        <f ca="1">OFFSET(gas!$F$18,(ROW(gas!E2)-1)*5,0)*1000</f>
        <v>398327.80923445197</v>
      </c>
      <c r="I3">
        <f>ccs!$H$6*ccs!B21*8760</f>
        <v>2063543.7688775717</v>
      </c>
      <c r="J3">
        <f ca="1">OFFSET(land!$C$12,(ROW(J2)-1)*5,0)*1000</f>
        <v>1076640.9880166219</v>
      </c>
      <c r="K3">
        <f ca="1">OFFSET(offshore!$K$13,(ROW(K2)-1)*5,0)*1000</f>
        <v>2492043.9563389542</v>
      </c>
      <c r="L3">
        <f ca="1">OFFSET(coal!$C$20,(ROW(L2)-1)*5,0)*1000</f>
        <v>612285.82738016697</v>
      </c>
      <c r="M3">
        <f>ccs!$C$6*ccs!B21*8760</f>
        <v>2153370.5810353518</v>
      </c>
      <c r="N3">
        <f ca="1">OFFSET(coal!$F$20,(ROW(N2)-1)*5,0)*1000</f>
        <v>1083549.8086818843</v>
      </c>
      <c r="O3">
        <f>ccs!$F$6*ccs!B21*8760</f>
        <v>1634376.6864543986</v>
      </c>
      <c r="P3">
        <f ca="1">OFFSET(nuclear!$B$8,(ROW(P2)-1)*5,0)*1000</f>
        <v>2113664.33502365</v>
      </c>
      <c r="Q3">
        <f t="shared" ref="Q3:Q8" si="0">5969/6.5*1000</f>
        <v>918307.69230769225</v>
      </c>
      <c r="R3">
        <f t="shared" ref="R3:R8" si="1">2240.15384615385*1000</f>
        <v>2240153.8461538497</v>
      </c>
      <c r="S3">
        <f>SMR!T3</f>
        <v>533582.40641149005</v>
      </c>
      <c r="T3">
        <f>ccs!$J$6*ccs!B21*8760</f>
        <v>536986.98807785357</v>
      </c>
      <c r="U3">
        <f>SMR!V3</f>
        <v>3218775.2749676201</v>
      </c>
      <c r="V3">
        <f>ccs!$J$6*ccs!B21*8760</f>
        <v>536986.98807785357</v>
      </c>
      <c r="W3">
        <f ca="1">OFFSET(Electrolyzer!$C$2,(ROW(W2)-1)*5,0)*1000</f>
        <v>905520</v>
      </c>
      <c r="X3">
        <f>'Fuel cell'!C3*1000</f>
        <v>1443172.5000000002</v>
      </c>
      <c r="Y3">
        <f ca="1">OFFSET('H2 turbine'!$B$12,(ROW(Z2)-1)*5,0)*1000</f>
        <v>313166.66666666669</v>
      </c>
      <c r="Z3">
        <f>'hydrogen storage'!B10</f>
        <v>61688.549999999996</v>
      </c>
      <c r="AA3">
        <f>'hydrogen storage'!D10</f>
        <v>3010.8539999999994</v>
      </c>
      <c r="AB3">
        <f>2.25*1.1*1.0928</f>
        <v>2.7046800000000002</v>
      </c>
      <c r="AC3">
        <f t="shared" ref="AC3:AC7" si="2">AB3*2</f>
        <v>5.4093600000000004</v>
      </c>
      <c r="AD3">
        <f>3.7*1.1*1.0928</f>
        <v>4.4476960000000005</v>
      </c>
      <c r="AE3">
        <f>DAC!B20*8760</f>
        <v>5433120</v>
      </c>
    </row>
    <row r="4" spans="1:31" x14ac:dyDescent="0.25">
      <c r="A4">
        <v>2030</v>
      </c>
      <c r="B4">
        <f ca="1">OFFSET(battery!$F$15,(ROW(B3)-1)*5,0)*1000</f>
        <v>483790.42077117879</v>
      </c>
      <c r="C4">
        <f ca="1">OFFSET(battery!$C$15,(ROW(C3)-1)*5,0)*1000</f>
        <v>173879.94718483053</v>
      </c>
      <c r="D4">
        <f ca="1">OFFSET(Solar!$C$11,(ROW(D3)-1)*5,0)*1000</f>
        <v>505217.02450861299</v>
      </c>
      <c r="E4">
        <f ca="1">OFFSET(Solar!$F$11,(ROW(Solar!E3)-1)*5,0)*1000</f>
        <v>548996.59879898466</v>
      </c>
      <c r="F4">
        <f ca="1">OFFSET(gas!$C$18,(ROW(gas!C3)-1)*5,0)*1000</f>
        <v>344008.71580045728</v>
      </c>
      <c r="G4">
        <f>ccs!$H$6*ccs!B22*8760</f>
        <v>1719619.8073979765</v>
      </c>
      <c r="H4">
        <f ca="1">OFFSET(gas!$F$18,(ROW(gas!E3)-1)*5,0)*1000</f>
        <v>380673.18817229051</v>
      </c>
      <c r="I4">
        <f>ccs!$H$6*ccs!B22*8760</f>
        <v>1719619.8073979765</v>
      </c>
      <c r="J4">
        <f ca="1">OFFSET(land!$C$12,(ROW(J3)-1)*5,0)*1000</f>
        <v>976192.22303741041</v>
      </c>
      <c r="K4">
        <f ca="1">OFFSET(offshore!$K$13,(ROW(K3)-1)*5,0)*1000</f>
        <v>2290687.2747561219</v>
      </c>
      <c r="L4">
        <f ca="1">OFFSET(coal!$C$20,(ROW(L3)-1)*5,0)*1000</f>
        <v>595355.36161951255</v>
      </c>
      <c r="M4">
        <f>ccs!$C$6*ccs!B22*8760</f>
        <v>1794475.4841961265</v>
      </c>
      <c r="N4">
        <f ca="1">OFFSET(coal!$F$20,(ROW(N3)-1)*5,0)*1000</f>
        <v>1072807.5697887018</v>
      </c>
      <c r="O4">
        <f>ccs!$F$6*ccs!B22*8760</f>
        <v>1361980.5720453321</v>
      </c>
      <c r="P4">
        <f ca="1">OFFSET(nuclear!$B$8,(ROW(P3)-1)*5,0)*1000</f>
        <v>2015507.9702320395</v>
      </c>
      <c r="Q4">
        <f t="shared" si="0"/>
        <v>918307.69230769225</v>
      </c>
      <c r="R4">
        <f t="shared" si="1"/>
        <v>2240153.8461538497</v>
      </c>
      <c r="S4">
        <f>SMR!T4</f>
        <v>511994.88772136444</v>
      </c>
      <c r="T4">
        <f>ccs!$J$6*ccs!B22*8760</f>
        <v>447489.15673154464</v>
      </c>
      <c r="U4">
        <f>SMR!V4</f>
        <v>3129772.1294640666</v>
      </c>
      <c r="V4">
        <f>ccs!$J$6*ccs!B22*8760</f>
        <v>447489.15673154464</v>
      </c>
      <c r="W4">
        <f ca="1">OFFSET(Electrolyzer!$C$2,(ROW(W3)-1)*5,0)*1000</f>
        <v>565950</v>
      </c>
      <c r="X4">
        <f>'Fuel cell'!C4*1000</f>
        <v>1324322.9999999998</v>
      </c>
      <c r="Y4">
        <f ca="1">OFFSET('H2 turbine'!$B$12,(ROW(Z3)-1)*5,0)*1000</f>
        <v>311555.55555555556</v>
      </c>
      <c r="Z4">
        <f>'hydrogen storage'!B11</f>
        <v>54331.199999999997</v>
      </c>
      <c r="AA4">
        <f>'hydrogen storage'!D11</f>
        <v>2410.9469999999997</v>
      </c>
      <c r="AB4">
        <f>2.14*1.1*1.0928</f>
        <v>2.5724512000000006</v>
      </c>
      <c r="AC4">
        <f t="shared" si="2"/>
        <v>5.1449024000000012</v>
      </c>
      <c r="AD4">
        <f>3.52*1.1*1.0928</f>
        <v>4.2313216000000002</v>
      </c>
      <c r="AE4">
        <f>DAC!B21*8760</f>
        <v>3395699.9999999995</v>
      </c>
    </row>
    <row r="5" spans="1:31" x14ac:dyDescent="0.25">
      <c r="A5">
        <v>2035</v>
      </c>
      <c r="B5">
        <f ca="1">OFFSET(battery!$F$15,(ROW(B4)-1)*5,0)*1000</f>
        <v>467109.57439716003</v>
      </c>
      <c r="C5">
        <f ca="1">OFFSET(battery!$C$15,(ROW(C4)-1)*5,0)*1000</f>
        <v>158078.00013369246</v>
      </c>
      <c r="D5">
        <f ca="1">OFFSET(Solar!$C$11,(ROW(D4)-1)*5,0)*1000</f>
        <v>403424.47333713423</v>
      </c>
      <c r="E5">
        <f ca="1">OFFSET(Solar!$F$11,(ROW(Solar!E4)-1)*5,0)*1000</f>
        <v>411449.36995556689</v>
      </c>
      <c r="F5">
        <f ca="1">OFFSET(gas!$C$18,(ROW(gas!C4)-1)*5,0)*1000</f>
        <v>329504.08936764416</v>
      </c>
      <c r="G5">
        <f>ccs!$H$6*ccs!B23*8760</f>
        <v>1582050.2228061385</v>
      </c>
      <c r="H5">
        <f ca="1">OFFSET(gas!$F$18,(ROW(gas!E4)-1)*5,0)*1000</f>
        <v>363018.56711012905</v>
      </c>
      <c r="I5">
        <f>ccs!$H$6*ccs!B23*8760</f>
        <v>1582050.2228061385</v>
      </c>
      <c r="J5">
        <f ca="1">OFFSET(land!$C$12,(ROW(J4)-1)*5,0)*1000</f>
        <v>928132.1851528117</v>
      </c>
      <c r="K5">
        <f ca="1">OFFSET(offshore!$K$13,(ROW(K4)-1)*5,0)*1000</f>
        <v>2166215.1199255665</v>
      </c>
      <c r="L5">
        <f ca="1">OFFSET(coal!$C$20,(ROW(L4)-1)*5,0)*1000</f>
        <v>578403.10632763465</v>
      </c>
      <c r="M5">
        <f>ccs!$C$6*ccs!B23*8760</f>
        <v>1650917.4454604364</v>
      </c>
      <c r="N5">
        <f ca="1">OFFSET(coal!$F$20,(ROW(N4)-1)*5,0)*1000</f>
        <v>1062087.1204267431</v>
      </c>
      <c r="O5">
        <f>ccs!$F$6*ccs!B23*8760</f>
        <v>1253022.1262817057</v>
      </c>
      <c r="P5">
        <f ca="1">OFFSET(nuclear!$B$8,(ROW(P4)-1)*5,0)*1000</f>
        <v>1948571.2220878473</v>
      </c>
      <c r="Q5">
        <f t="shared" si="0"/>
        <v>918307.69230769225</v>
      </c>
      <c r="R5">
        <f t="shared" si="1"/>
        <v>2240153.8461538497</v>
      </c>
      <c r="S5">
        <f>SMR!T5</f>
        <v>490407.36903123878</v>
      </c>
      <c r="T5">
        <f>ccs!$J$6*ccs!B23*8760</f>
        <v>411690.02419302112</v>
      </c>
      <c r="U5">
        <f>SMR!V5</f>
        <v>3040654.4367977036</v>
      </c>
      <c r="V5">
        <f>ccs!$J$6*ccs!B23*8760</f>
        <v>411690.02419302112</v>
      </c>
      <c r="W5">
        <f ca="1">OFFSET(Electrolyzer!$C$2,(ROW(W4)-1)*5,0)*1000</f>
        <v>694166.66666666674</v>
      </c>
      <c r="X5">
        <f>'Fuel cell'!C5*1000</f>
        <v>1233771</v>
      </c>
      <c r="Y5">
        <f ca="1">OFFSET('H2 turbine'!$B$12,(ROW(Z4)-1)*5,0)*1000</f>
        <v>309944.44444444444</v>
      </c>
      <c r="Z5">
        <f>'hydrogen storage'!B12</f>
        <v>43578.149999999994</v>
      </c>
      <c r="AA5">
        <f>'hydrogen storage'!D12</f>
        <v>2110.9934999999996</v>
      </c>
      <c r="AB5">
        <f>(AB4+AB6)/2</f>
        <v>2.4462328000000007</v>
      </c>
      <c r="AC5">
        <f t="shared" si="2"/>
        <v>4.8924656000000013</v>
      </c>
      <c r="AD5">
        <f>(AD4+AD6)/2</f>
        <v>4.0269680000000001</v>
      </c>
      <c r="AE5">
        <f>DAC!B22*8760</f>
        <v>2886345</v>
      </c>
    </row>
    <row r="6" spans="1:31" x14ac:dyDescent="0.25">
      <c r="A6">
        <v>2040</v>
      </c>
      <c r="B6">
        <f ca="1">OFFSET(battery!$F$15,(ROW(B5)-1)*5,0)*1000</f>
        <v>449709.83080580318</v>
      </c>
      <c r="C6">
        <f ca="1">OFFSET(battery!$C$15,(ROW(C5)-1)*5,0)*1000</f>
        <v>142362.73941461253</v>
      </c>
      <c r="D6">
        <f ca="1">OFFSET(Solar!$C$11,(ROW(D5)-1)*5,0)*1000</f>
        <v>371518.84230403125</v>
      </c>
      <c r="E6">
        <f ca="1">OFFSET(Solar!$F$11,(ROW(Solar!E5)-1)*5,0)*1000</f>
        <v>371597.40062988061</v>
      </c>
      <c r="F6">
        <f ca="1">OFFSET(gas!$C$18,(ROW(gas!C5)-1)*5,0)*1000</f>
        <v>314962.83509030374</v>
      </c>
      <c r="G6">
        <f>ccs!$H$6*ccs!B24*8760</f>
        <v>1444480.6382143002</v>
      </c>
      <c r="H6">
        <f ca="1">OFFSET(gas!$F$18,(ROW(gas!E5)-1)*5,0)*1000</f>
        <v>348074.4065429882</v>
      </c>
      <c r="I6">
        <f>ccs!$H$6*ccs!B24*8760</f>
        <v>1444480.6382143002</v>
      </c>
      <c r="J6">
        <f ca="1">OFFSET(land!$C$12,(ROW(J5)-1)*5,0)*1000</f>
        <v>880072.14726822276</v>
      </c>
      <c r="K6">
        <f ca="1">OFFSET(offshore!$K$13,(ROW(K5)-1)*5,0)*1000</f>
        <v>2075879.4719771212</v>
      </c>
      <c r="L6">
        <f ca="1">OFFSET(coal!$C$20,(ROW(L5)-1)*5,0)*1000</f>
        <v>550665.03308012744</v>
      </c>
      <c r="M6">
        <f>ccs!$C$6*ccs!B24*8760</f>
        <v>1507359.4067247463</v>
      </c>
      <c r="N6">
        <f ca="1">OFFSET(coal!$F$20,(ROW(N5)-1)*5,0)*1000</f>
        <v>1051344.8815335608</v>
      </c>
      <c r="O6">
        <f>ccs!$F$6*ccs!B24*8760</f>
        <v>1144063.6805180791</v>
      </c>
      <c r="P6">
        <f ca="1">OFFSET(nuclear!$B$8,(ROW(P5)-1)*5,0)*1000</f>
        <v>1879782.7212859497</v>
      </c>
      <c r="Q6">
        <f t="shared" si="0"/>
        <v>918307.69230769225</v>
      </c>
      <c r="R6">
        <f t="shared" si="1"/>
        <v>2240153.8461538497</v>
      </c>
      <c r="S6">
        <f>SMR!T6</f>
        <v>468765.3364050269</v>
      </c>
      <c r="T6">
        <f>ccs!$J$6*ccs!B24*8760</f>
        <v>375890.89165449754</v>
      </c>
      <c r="U6">
        <f>SMR!V6</f>
        <v>2894835.8985402733</v>
      </c>
      <c r="V6">
        <f>ccs!$J$6*ccs!B24*8760</f>
        <v>375890.89165449754</v>
      </c>
      <c r="W6">
        <f ca="1">OFFSET(Electrolyzer!$C$2,(ROW(W5)-1)*5,0)*1000</f>
        <v>452760</v>
      </c>
      <c r="X6">
        <f>'Fuel cell'!C6*1000</f>
        <v>1143219</v>
      </c>
      <c r="Y6">
        <f ca="1">OFFSET('H2 turbine'!$B$12,(ROW(Z5)-1)*5,0)*1000</f>
        <v>308333.33333333331</v>
      </c>
      <c r="Z6">
        <f>'hydrogen storage'!B13</f>
        <v>32825.1</v>
      </c>
      <c r="AA6">
        <f>'hydrogen storage'!D13</f>
        <v>1811.04</v>
      </c>
      <c r="AB6">
        <f>1.93*1.1*1.0928</f>
        <v>2.3200144000000003</v>
      </c>
      <c r="AC6">
        <f t="shared" si="2"/>
        <v>4.6400288000000005</v>
      </c>
      <c r="AD6">
        <f t="shared" ref="AD6:AD8" si="3">3.18*1.1*1.0928</f>
        <v>3.8226144000000009</v>
      </c>
      <c r="AE6">
        <f>DAC!B23*8760</f>
        <v>2376990</v>
      </c>
    </row>
    <row r="7" spans="1:31" x14ac:dyDescent="0.25">
      <c r="A7">
        <v>2045</v>
      </c>
      <c r="B7">
        <f ca="1">OFFSET(battery!$F$15,(ROW(B6)-1)*5,0)*1000</f>
        <v>431425.30164641637</v>
      </c>
      <c r="C7">
        <f ca="1">OFFSET(battery!$C$15,(ROW(C6)-1)*5,0)*1000</f>
        <v>126754.16823848918</v>
      </c>
      <c r="D7">
        <f ca="1">OFFSET(Solar!$C$11,(ROW(D6)-1)*5,0)*1000</f>
        <v>339613.21127092832</v>
      </c>
      <c r="E7">
        <f ca="1">OFFSET(Solar!$F$11,(ROW(Solar!E6)-1)*5,0)*1000</f>
        <v>331745.43130419438</v>
      </c>
      <c r="F7">
        <f ca="1">OFFSET(gas!$C$18,(ROW(gas!C6)-1)*5,0)*1000</f>
        <v>300458.2086574905</v>
      </c>
      <c r="G7">
        <f>ccs!$H$6*ccs!B25*8760</f>
        <v>1410088.2420663408</v>
      </c>
      <c r="H7">
        <f ca="1">OFFSET(gas!$F$18,(ROW(gas!E6)-1)*5,0)*1000</f>
        <v>333130.24597584741</v>
      </c>
      <c r="I7">
        <f>ccs!$H$6*ccs!B25*8760</f>
        <v>1410088.2420663408</v>
      </c>
      <c r="J7">
        <f ca="1">OFFSET(land!$C$12,(ROW(J6)-1)*5,0)*1000</f>
        <v>832012.10938362509</v>
      </c>
      <c r="K7">
        <f ca="1">OFFSET(offshore!$K$13,(ROW(K6)-1)*5,0)*1000</f>
        <v>2004930.7310270788</v>
      </c>
      <c r="L7">
        <f ca="1">OFFSET(coal!$C$20,(ROW(L6)-1)*5,0)*1000</f>
        <v>522948.7493638437</v>
      </c>
      <c r="M7">
        <f>ccs!$C$6*ccs!B25*8760</f>
        <v>1471469.8970408235</v>
      </c>
      <c r="N7">
        <f ca="1">OFFSET(coal!$F$20,(ROW(N6)-1)*5,0)*1000</f>
        <v>1040624.4321716022</v>
      </c>
      <c r="O7">
        <f>ccs!$F$6*ccs!B25*8760</f>
        <v>1116824.0690771723</v>
      </c>
      <c r="P7">
        <f ca="1">OFFSET(nuclear!$B$8,(ROW(P6)-1)*5,0)*1000</f>
        <v>1815208.0930648863</v>
      </c>
      <c r="Q7">
        <f t="shared" si="0"/>
        <v>918307.69230769225</v>
      </c>
      <c r="R7">
        <f t="shared" si="1"/>
        <v>2240153.8461538497</v>
      </c>
      <c r="S7">
        <f>SMR!T7</f>
        <v>447177.81771490118</v>
      </c>
      <c r="T7">
        <f>ccs!$J$6*ccs!B25*8760</f>
        <v>366941.10851986666</v>
      </c>
      <c r="U7">
        <f>SMR!V7</f>
        <v>2749131.9074456538</v>
      </c>
      <c r="V7">
        <f>ccs!$J$6*ccs!B25*8760</f>
        <v>366941.10851986666</v>
      </c>
      <c r="W7">
        <f ca="1">OFFSET(Electrolyzer!$C$2,(ROW(W6)-1)*5,0)*1000</f>
        <v>639833.33333333349</v>
      </c>
      <c r="X7">
        <f>'Fuel cell'!C7*1000</f>
        <v>1052667.0000000002</v>
      </c>
      <c r="Y7">
        <f ca="1">OFFSET('H2 turbine'!$B$12,(ROW(Z6)-1)*5,0)*1000</f>
        <v>306722.22222222225</v>
      </c>
      <c r="Z7">
        <f>'hydrogen storage'!B14</f>
        <v>28863.449999999997</v>
      </c>
      <c r="AA7">
        <f>'hydrogen storage'!D14</f>
        <v>1629.9359999999999</v>
      </c>
      <c r="AB7">
        <f t="shared" ref="AB7:AB8" si="4">1.93*1.1*1.0928</f>
        <v>2.3200144000000003</v>
      </c>
      <c r="AC7">
        <f t="shared" si="2"/>
        <v>4.6400288000000005</v>
      </c>
      <c r="AD7">
        <f t="shared" si="3"/>
        <v>3.8226144000000009</v>
      </c>
      <c r="AE7">
        <f>DAC!B24*8760</f>
        <v>2207205</v>
      </c>
    </row>
    <row r="8" spans="1:31" x14ac:dyDescent="0.25">
      <c r="A8">
        <v>2050</v>
      </c>
      <c r="B8">
        <f ca="1">OFFSET(battery!$F$15,(ROW(B7)-1)*5,0)*1000</f>
        <v>412034.80642593093</v>
      </c>
      <c r="C8">
        <f ca="1">OFFSET(battery!$C$15,(ROW(C7)-1)*5,0)*1000</f>
        <v>111278.95707392975</v>
      </c>
      <c r="D8">
        <f ca="1">OFFSET(Solar!$C$11,(ROW(D7)-1)*5,0)*1000</f>
        <v>307707.58023782534</v>
      </c>
      <c r="E8">
        <f ca="1">OFFSET(Solar!$F$11,(ROW(Solar!E7)-1)*5,0)*1000</f>
        <v>291893.46197850793</v>
      </c>
      <c r="F8">
        <f ca="1">OFFSET(gas!$C$18,(ROW(gas!C7)-1)*5,0)*1000</f>
        <v>285953.58222467743</v>
      </c>
      <c r="G8">
        <f>ccs!$H$6*ccs!B26*8760</f>
        <v>1375695.8459183811</v>
      </c>
      <c r="H8">
        <f ca="1">OFFSET(gas!$F$18,(ROW(gas!E7)-1)*5,0)*1000</f>
        <v>318222.71325323387</v>
      </c>
      <c r="I8">
        <f>ccs!$H$6*ccs!B26*8760</f>
        <v>1375695.8459183811</v>
      </c>
      <c r="J8">
        <f ca="1">OFFSET(land!$C$12,(ROW(J7)-1)*5,0)*1000</f>
        <v>783952.07149902824</v>
      </c>
      <c r="K8">
        <f ca="1">OFFSET(offshore!$K$13,(ROW(K7)-1)*5,0)*1000</f>
        <v>1946500.3253128789</v>
      </c>
      <c r="L8">
        <f ca="1">OFFSET(coal!$C$20,(ROW(L7)-1)*5,0)*1000</f>
        <v>495210.67611633649</v>
      </c>
      <c r="M8">
        <f>ccs!$C$6*ccs!B26*8760</f>
        <v>1435580.3873569011</v>
      </c>
      <c r="N8">
        <f ca="1">OFFSET(coal!$F$20,(ROW(N7)-1)*5,0)*1000</f>
        <v>1029882.1932784199</v>
      </c>
      <c r="O8">
        <f>ccs!$F$6*ccs!B26*8760</f>
        <v>1089584.4576362655</v>
      </c>
      <c r="P8">
        <f ca="1">OFFSET(nuclear!$B$8,(ROW(P7)-1)*5,0)*1000</f>
        <v>1738729.5618643423</v>
      </c>
      <c r="Q8">
        <f t="shared" si="0"/>
        <v>918307.69230769225</v>
      </c>
      <c r="R8">
        <f t="shared" si="1"/>
        <v>2240153.8461538497</v>
      </c>
      <c r="S8">
        <f>SMR!T8</f>
        <v>425590.29902477557</v>
      </c>
      <c r="T8">
        <f>ccs!$J$6*ccs!B26*8760</f>
        <v>357991.32538523572</v>
      </c>
      <c r="U8">
        <f>SMR!V8</f>
        <v>2603313.369188224</v>
      </c>
      <c r="V8">
        <f>ccs!$J$6*ccs!B26*8760</f>
        <v>357991.32538523572</v>
      </c>
      <c r="W8">
        <f ca="1">OFFSET(Electrolyzer!$C$2,(ROW(W7)-1)*5,0)*1000</f>
        <v>311272.5</v>
      </c>
      <c r="X8">
        <f>'Fuel cell'!C8*1000</f>
        <v>962114.99999999988</v>
      </c>
      <c r="Y8">
        <f ca="1">OFFSET('H2 turbine'!$B$12,(ROW(Z7)-1)*5,0)*1000</f>
        <v>305111.11111111112</v>
      </c>
      <c r="Z8">
        <f>'hydrogen storage'!B15</f>
        <v>24901.8</v>
      </c>
      <c r="AA8">
        <f>'hydrogen storage'!D15</f>
        <v>1448.8319999999999</v>
      </c>
      <c r="AB8">
        <f t="shared" si="4"/>
        <v>2.3200144000000003</v>
      </c>
      <c r="AC8">
        <f t="shared" ref="AC8" si="5">AB8*2</f>
        <v>4.6400288000000005</v>
      </c>
      <c r="AD8">
        <f t="shared" si="3"/>
        <v>3.8226144000000009</v>
      </c>
      <c r="AE8">
        <f>DAC!B25*8760</f>
        <v>2037419.9999999998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workbookViewId="0">
      <selection activeCell="X7" sqref="X7"/>
    </sheetView>
  </sheetViews>
  <sheetFormatPr defaultRowHeight="15" x14ac:dyDescent="0.25"/>
  <sheetData>
    <row r="1" spans="1:31" x14ac:dyDescent="0.25">
      <c r="A1" t="s">
        <v>1</v>
      </c>
      <c r="B1" t="s">
        <v>2</v>
      </c>
      <c r="C1" t="s">
        <v>33</v>
      </c>
      <c r="D1" t="s">
        <v>3</v>
      </c>
      <c r="E1" t="s">
        <v>4</v>
      </c>
      <c r="F1" t="s">
        <v>41</v>
      </c>
      <c r="G1" t="s">
        <v>115</v>
      </c>
      <c r="H1" t="s">
        <v>42</v>
      </c>
      <c r="I1" t="s">
        <v>114</v>
      </c>
      <c r="J1" t="s">
        <v>0</v>
      </c>
      <c r="K1" t="s">
        <v>5</v>
      </c>
      <c r="L1" t="s">
        <v>43</v>
      </c>
      <c r="M1" t="s">
        <v>85</v>
      </c>
      <c r="N1" t="s">
        <v>44</v>
      </c>
      <c r="O1" t="s">
        <v>86</v>
      </c>
      <c r="P1" t="s">
        <v>45</v>
      </c>
      <c r="Q1" t="s">
        <v>31</v>
      </c>
      <c r="R1" t="s">
        <v>32</v>
      </c>
      <c r="S1" t="s">
        <v>73</v>
      </c>
      <c r="T1" t="s">
        <v>87</v>
      </c>
      <c r="U1" t="s">
        <v>74</v>
      </c>
      <c r="V1" t="s">
        <v>88</v>
      </c>
      <c r="W1" t="s">
        <v>69</v>
      </c>
      <c r="X1" t="s">
        <v>53</v>
      </c>
      <c r="Y1" t="s">
        <v>46</v>
      </c>
      <c r="Z1" t="s">
        <v>52</v>
      </c>
      <c r="AA1" t="s">
        <v>68</v>
      </c>
      <c r="AB1" t="s">
        <v>82</v>
      </c>
      <c r="AC1" t="s">
        <v>83</v>
      </c>
      <c r="AD1" t="s">
        <v>84</v>
      </c>
      <c r="AE1" t="s">
        <v>124</v>
      </c>
    </row>
    <row r="2" spans="1:31" x14ac:dyDescent="0.25">
      <c r="A2">
        <v>2020</v>
      </c>
      <c r="B2">
        <f ca="1">OFFSET(battery!$F$15,(ROW(B1)-1)*5,0)*1000</f>
        <v>492307.69230769231</v>
      </c>
      <c r="C2">
        <f ca="1">OFFSET(battery!$C$15,(ROW(C1)-1)*5,0)*1000</f>
        <v>246153.84615384619</v>
      </c>
      <c r="D2">
        <f ca="1">OFFSET(Solar!$C$11,(ROW(D1)-1)*5,0)*1000</f>
        <v>628000</v>
      </c>
      <c r="E2">
        <f ca="1">OFFSET(Solar!$F$11,(ROW(Solar!E1)-1)*5,0)*1000</f>
        <v>746000</v>
      </c>
      <c r="F2">
        <f ca="1">OFFSET(gas!$C$18,(ROW(gas!C1)-1)*5,0)*1000</f>
        <v>367230.76923076925</v>
      </c>
      <c r="G2">
        <f>ccs!$H$6*ccs!B20*8760</f>
        <v>2957746.0687245196</v>
      </c>
      <c r="H2">
        <f ca="1">OFFSET(gas!$F$18,(ROW(gas!E1)-1)*5,0)*1000</f>
        <v>408913.25630284339</v>
      </c>
      <c r="I2">
        <f>ccs!$H$6*ccs!B20*8760</f>
        <v>2957746.0687245196</v>
      </c>
      <c r="J2">
        <f ca="1">OFFSET(land!$C$12,(ROW(J1)-1)*5,0)*1000</f>
        <v>1157000</v>
      </c>
      <c r="K2">
        <f ca="1">OFFSET(offshore!$K$13,(ROW(K1)-1)*5,0)*1000</f>
        <v>2857000</v>
      </c>
      <c r="L2">
        <f ca="1">OFFSET(coal!$C$20,(ROW(L1)-1)*5,0)*1000</f>
        <v>622461.5384615385</v>
      </c>
      <c r="M2">
        <f>ccs!$C$6*ccs!B20*8760</f>
        <v>3086497.8328173375</v>
      </c>
      <c r="N2">
        <f ca="1">OFFSET(coal!$F$20,(ROW(N1)-1)*5,0)*1000</f>
        <v>1089999.5099240381</v>
      </c>
      <c r="O2">
        <f>ccs!$F$6*ccs!B20*8760</f>
        <v>2342606.5839179712</v>
      </c>
      <c r="P2">
        <f ca="1">OFFSET(nuclear!$B$8,(ROW(P1)-1)*5,0)*1000</f>
        <v>2461538.4615384615</v>
      </c>
      <c r="Q2">
        <f>5969/6.5*1000</f>
        <v>918307.69230769225</v>
      </c>
      <c r="R2">
        <f>2240.15384615385*1000</f>
        <v>2240153.8461538497</v>
      </c>
      <c r="S2">
        <f>SMR!T2</f>
        <v>546556.72319999989</v>
      </c>
      <c r="T2">
        <f>ccs!$J$6*ccs!B20*8760</f>
        <v>769681.34957825672</v>
      </c>
      <c r="U2">
        <f>SMR!V2</f>
        <v>3272268.8</v>
      </c>
      <c r="V2">
        <f>ccs!$J$6*ccs!B20</f>
        <v>87.863167760074973</v>
      </c>
      <c r="W2">
        <f ca="1">OFFSET(Electrolyzer!$C$2,(ROW(W1)-1)*5,0)*1000</f>
        <v>1245090</v>
      </c>
      <c r="X2">
        <f>'Fuel cell'!C2*1000</f>
        <v>1562022.0000000002</v>
      </c>
      <c r="Y2">
        <f ca="1">OFFSET('H2 turbine'!$B$12,(ROW(Z1)-1)*5,0)*1000</f>
        <v>314777.77777777775</v>
      </c>
      <c r="Z2">
        <f>'hydrogen storage'!B9</f>
        <v>69045.899999999994</v>
      </c>
      <c r="AA2">
        <f>'hydrogen storage'!D9</f>
        <v>3610.7609999999995</v>
      </c>
      <c r="AB2">
        <f>2.36*1.1*1.0928</f>
        <v>2.8369088000000002</v>
      </c>
      <c r="AC2">
        <f>AB2*2</f>
        <v>5.6738176000000005</v>
      </c>
      <c r="AD2">
        <f>3.89*1.1*1.0928</f>
        <v>4.676091200000001</v>
      </c>
      <c r="AE2">
        <f>DAC!B19*8760</f>
        <v>7357349.9999999991</v>
      </c>
    </row>
    <row r="3" spans="1:31" x14ac:dyDescent="0.25">
      <c r="A3">
        <v>2025</v>
      </c>
      <c r="B3">
        <f ca="1">OFFSET(battery!$F$15,(ROW(B2)-1)*5,0)*1000</f>
        <v>474606.98277086945</v>
      </c>
      <c r="C3">
        <f ca="1">OFFSET(battery!$C$15,(ROW(C2)-1)*5,0)*1000</f>
        <v>219340.5647717136</v>
      </c>
      <c r="D3">
        <f ca="1">OFFSET(Solar!$C$11,(ROW(D2)-1)*5,0)*1000</f>
        <v>607009.57568009151</v>
      </c>
      <c r="E3">
        <f ca="1">OFFSET(Solar!$F$11,(ROW(Solar!E2)-1)*5,0)*1000</f>
        <v>686543.82764240284</v>
      </c>
      <c r="F3">
        <f ca="1">OFFSET(gas!$C$18,(ROW(gas!C2)-1)*5,0)*1000</f>
        <v>358513.34223327041</v>
      </c>
      <c r="G3">
        <f>ccs!$H$6*ccs!B21*8760</f>
        <v>2063543.7688775717</v>
      </c>
      <c r="H3">
        <f ca="1">OFFSET(gas!$F$18,(ROW(gas!E2)-1)*5,0)*1000</f>
        <v>398327.80923445197</v>
      </c>
      <c r="I3">
        <f>ccs!$H$6*ccs!B21*8760</f>
        <v>2063543.7688775717</v>
      </c>
      <c r="J3">
        <f ca="1">OFFSET(land!$C$12,(ROW(J2)-1)*5,0)*1000</f>
        <v>1076640.9880166219</v>
      </c>
      <c r="K3">
        <f ca="1">OFFSET(offshore!$K$13,(ROW(K2)-1)*5,0)*1000</f>
        <v>2492043.9563389542</v>
      </c>
      <c r="L3">
        <f ca="1">OFFSET(coal!$C$20,(ROW(L2)-1)*5,0)*1000</f>
        <v>612285.82738016697</v>
      </c>
      <c r="M3">
        <f>ccs!$C$6*ccs!B21*8760</f>
        <v>2153370.5810353518</v>
      </c>
      <c r="N3">
        <f ca="1">OFFSET(coal!$F$20,(ROW(N2)-1)*5,0)*1000</f>
        <v>1083549.8086818843</v>
      </c>
      <c r="O3">
        <f>ccs!$F$6*ccs!B21*8760</f>
        <v>1634376.6864543986</v>
      </c>
      <c r="P3">
        <f ca="1">OFFSET(nuclear!$B$8,(ROW(P2)-1)*5,0)*1000</f>
        <v>2113664.33502365</v>
      </c>
      <c r="Q3">
        <f t="shared" ref="Q3:Q8" si="0">5969/6.5*1000</f>
        <v>918307.69230769225</v>
      </c>
      <c r="R3">
        <f t="shared" ref="R3:R8" si="1">2240.15384615385*1000</f>
        <v>2240153.8461538497</v>
      </c>
      <c r="S3">
        <f>SMR!T3</f>
        <v>533582.40641149005</v>
      </c>
      <c r="T3">
        <f>ccs!$J$6*ccs!B21*8760</f>
        <v>536986.98807785357</v>
      </c>
      <c r="U3">
        <f>SMR!V3</f>
        <v>3218775.2749676201</v>
      </c>
      <c r="V3">
        <f>ccs!$J$6*ccs!B21</f>
        <v>61.299884483773241</v>
      </c>
      <c r="W3">
        <f ca="1">OFFSET(Electrolyzer!$C$2,(ROW(W2)-1)*5,0)*1000</f>
        <v>905520</v>
      </c>
      <c r="X3">
        <f>'Fuel cell'!C3*1000</f>
        <v>1443172.5000000002</v>
      </c>
      <c r="Y3">
        <f ca="1">OFFSET('H2 turbine'!$B$12,(ROW(Z2)-1)*5,0)*1000</f>
        <v>313166.66666666669</v>
      </c>
      <c r="Z3">
        <f>'hydrogen storage'!B10</f>
        <v>61688.549999999996</v>
      </c>
      <c r="AA3">
        <f>'hydrogen storage'!D10</f>
        <v>3010.8539999999994</v>
      </c>
      <c r="AB3">
        <f>2.25*1.1*1.0928</f>
        <v>2.7046800000000002</v>
      </c>
      <c r="AC3">
        <f t="shared" ref="AC3:AC8" si="2">AB3*2</f>
        <v>5.4093600000000004</v>
      </c>
      <c r="AD3">
        <f>3.7*1.1*1.0928</f>
        <v>4.4476960000000005</v>
      </c>
      <c r="AE3">
        <f>DAC!B20*8760</f>
        <v>5433120</v>
      </c>
    </row>
    <row r="4" spans="1:31" x14ac:dyDescent="0.25">
      <c r="A4">
        <v>2030</v>
      </c>
      <c r="B4">
        <f ca="1">OFFSET(battery!$F$15,(ROW(B3)-1)*5,0)*1000</f>
        <v>483790.42077117879</v>
      </c>
      <c r="C4">
        <f ca="1">OFFSET(battery!$C$15,(ROW(C3)-1)*5,0)*1000</f>
        <v>173879.94718483053</v>
      </c>
      <c r="D4">
        <f ca="1">OFFSET(Solar!$C$11,(ROW(D3)-1)*5,0)*1000</f>
        <v>505217.02450861299</v>
      </c>
      <c r="E4">
        <f ca="1">OFFSET(Solar!$F$11,(ROW(Solar!E3)-1)*5,0)*1000</f>
        <v>548996.59879898466</v>
      </c>
      <c r="F4">
        <f ca="1">OFFSET(gas!$C$18,(ROW(gas!C3)-1)*5,0)*1000</f>
        <v>344008.71580045728</v>
      </c>
      <c r="G4">
        <f>ccs!$H$6*ccs!B22*8760</f>
        <v>1719619.8073979765</v>
      </c>
      <c r="H4">
        <f ca="1">OFFSET(gas!$F$18,(ROW(gas!E3)-1)*5,0)*1000</f>
        <v>380673.18817229051</v>
      </c>
      <c r="I4">
        <f>ccs!$H$6*ccs!B22*8760</f>
        <v>1719619.8073979765</v>
      </c>
      <c r="J4">
        <f ca="1">OFFSET(land!$C$12,(ROW(J3)-1)*5,0)*1000</f>
        <v>976192.22303741041</v>
      </c>
      <c r="K4">
        <f ca="1">OFFSET(offshore!$K$13,(ROW(K3)-1)*5,0)*1000</f>
        <v>2290687.2747561219</v>
      </c>
      <c r="L4">
        <f ca="1">OFFSET(coal!$C$20,(ROW(L3)-1)*5,0)*1000</f>
        <v>595355.36161951255</v>
      </c>
      <c r="M4">
        <f>ccs!$C$6*ccs!B22*8760</f>
        <v>1794475.4841961265</v>
      </c>
      <c r="N4">
        <f ca="1">OFFSET(coal!$F$20,(ROW(N3)-1)*5,0)*1000</f>
        <v>1072807.5697887018</v>
      </c>
      <c r="O4">
        <f>ccs!$F$6*ccs!B22*8760</f>
        <v>1361980.5720453321</v>
      </c>
      <c r="P4">
        <f ca="1">OFFSET(nuclear!$B$8,(ROW(P3)-1)*5,0)*1000</f>
        <v>2015507.9702320395</v>
      </c>
      <c r="Q4">
        <f t="shared" si="0"/>
        <v>918307.69230769225</v>
      </c>
      <c r="R4">
        <f t="shared" si="1"/>
        <v>2240153.8461538497</v>
      </c>
      <c r="S4">
        <f>SMR!T4</f>
        <v>511994.88772136444</v>
      </c>
      <c r="T4">
        <f>ccs!$J$6*ccs!B22*8760</f>
        <v>447489.15673154464</v>
      </c>
      <c r="U4">
        <f>SMR!V4</f>
        <v>3129772.1294640666</v>
      </c>
      <c r="V4">
        <f>ccs!$J$6*ccs!B22</f>
        <v>51.083237069811034</v>
      </c>
      <c r="W4">
        <f ca="1">OFFSET(Electrolyzer!$C$2,(ROW(W3)-1)*5,0)*1000</f>
        <v>565950</v>
      </c>
      <c r="X4">
        <f>'Fuel cell'!C4*1000</f>
        <v>1324322.9999999998</v>
      </c>
      <c r="Y4">
        <f ca="1">OFFSET('H2 turbine'!$B$12,(ROW(Z3)-1)*5,0)*1000</f>
        <v>311555.55555555556</v>
      </c>
      <c r="Z4">
        <f>'hydrogen storage'!B11</f>
        <v>54331.199999999997</v>
      </c>
      <c r="AA4">
        <f>'hydrogen storage'!D11</f>
        <v>2410.9469999999997</v>
      </c>
      <c r="AB4">
        <f>2.14*1.1*1.0928</f>
        <v>2.5724512000000006</v>
      </c>
      <c r="AC4">
        <f t="shared" si="2"/>
        <v>5.1449024000000012</v>
      </c>
      <c r="AD4">
        <f>3.52*1.1*1.0928</f>
        <v>4.2313216000000002</v>
      </c>
      <c r="AE4">
        <f>DAC!B21*8760</f>
        <v>3395699.9999999995</v>
      </c>
    </row>
    <row r="5" spans="1:31" x14ac:dyDescent="0.25">
      <c r="A5">
        <v>2035</v>
      </c>
      <c r="B5">
        <f ca="1">OFFSET(battery!$F$15,(ROW(B4)-1)*5,0)*1000</f>
        <v>467109.57439716003</v>
      </c>
      <c r="C5">
        <f ca="1">OFFSET(battery!$C$15,(ROW(C4)-1)*5,0)*1000</f>
        <v>158078.00013369246</v>
      </c>
      <c r="D5">
        <f ca="1">OFFSET(Solar!$C$11,(ROW(D4)-1)*5,0)*1000</f>
        <v>403424.47333713423</v>
      </c>
      <c r="E5">
        <f ca="1">OFFSET(Solar!$F$11,(ROW(Solar!E4)-1)*5,0)*1000</f>
        <v>411449.36995556689</v>
      </c>
      <c r="F5">
        <f ca="1">OFFSET(gas!$C$18,(ROW(gas!C4)-1)*5,0)*1000</f>
        <v>329504.08936764416</v>
      </c>
      <c r="G5">
        <f>ccs!$H$6*ccs!B23*8760</f>
        <v>1582050.2228061385</v>
      </c>
      <c r="H5">
        <f ca="1">OFFSET(gas!$F$18,(ROW(gas!E4)-1)*5,0)*1000</f>
        <v>363018.56711012905</v>
      </c>
      <c r="I5">
        <f>ccs!$H$6*ccs!B23*8760</f>
        <v>1582050.2228061385</v>
      </c>
      <c r="J5">
        <f ca="1">OFFSET(land!$C$12,(ROW(J4)-1)*5,0)*1000</f>
        <v>928132.1851528117</v>
      </c>
      <c r="K5">
        <f ca="1">OFFSET(offshore!$K$13,(ROW(K4)-1)*5,0)*1000</f>
        <v>2166215.1199255665</v>
      </c>
      <c r="L5">
        <f ca="1">OFFSET(coal!$C$20,(ROW(L4)-1)*5,0)*1000</f>
        <v>578403.10632763465</v>
      </c>
      <c r="M5">
        <f>ccs!$C$6*ccs!B23*8760</f>
        <v>1650917.4454604364</v>
      </c>
      <c r="N5">
        <f ca="1">OFFSET(coal!$F$20,(ROW(N4)-1)*5,0)*1000</f>
        <v>1062087.1204267431</v>
      </c>
      <c r="O5">
        <f>ccs!$F$6*ccs!B23*8760</f>
        <v>1253022.1262817057</v>
      </c>
      <c r="P5">
        <f ca="1">OFFSET(nuclear!$B$8,(ROW(P4)-1)*5,0)*1000</f>
        <v>1948571.2220878473</v>
      </c>
      <c r="Q5">
        <f t="shared" si="0"/>
        <v>918307.69230769225</v>
      </c>
      <c r="R5">
        <f t="shared" si="1"/>
        <v>2240153.8461538497</v>
      </c>
      <c r="S5">
        <f>SMR!T5</f>
        <v>490407.36903123878</v>
      </c>
      <c r="T5">
        <f>ccs!$J$6*ccs!B23*8760</f>
        <v>411690.02419302112</v>
      </c>
      <c r="U5">
        <f>SMR!V5</f>
        <v>3040654.4367977036</v>
      </c>
      <c r="V5">
        <f>ccs!$J$6*ccs!B23</f>
        <v>46.996578104226153</v>
      </c>
      <c r="W5">
        <f ca="1">OFFSET(Electrolyzer!$C$2,(ROW(W4)-1)*5,0)*1000</f>
        <v>694166.66666666674</v>
      </c>
      <c r="X5">
        <f>'Fuel cell'!C5*1000</f>
        <v>1233771</v>
      </c>
      <c r="Y5">
        <f ca="1">OFFSET('H2 turbine'!$B$12,(ROW(Z4)-1)*5,0)*1000</f>
        <v>309944.44444444444</v>
      </c>
      <c r="Z5">
        <f>'hydrogen storage'!B12</f>
        <v>43578.149999999994</v>
      </c>
      <c r="AA5">
        <f>'hydrogen storage'!D12</f>
        <v>2110.9934999999996</v>
      </c>
      <c r="AB5">
        <f>(AB4+AB6)/2</f>
        <v>2.4462328000000007</v>
      </c>
      <c r="AC5">
        <f t="shared" si="2"/>
        <v>4.8924656000000013</v>
      </c>
      <c r="AD5">
        <f>(AD4+AD6)/2</f>
        <v>4.0269680000000001</v>
      </c>
      <c r="AE5">
        <f>DAC!B22*8760</f>
        <v>2886345</v>
      </c>
    </row>
    <row r="6" spans="1:31" x14ac:dyDescent="0.25">
      <c r="A6">
        <v>2040</v>
      </c>
      <c r="B6">
        <f ca="1">OFFSET(battery!$F$15,(ROW(B5)-1)*5,0)*1000</f>
        <v>449709.83080580318</v>
      </c>
      <c r="C6">
        <f ca="1">OFFSET(battery!$C$15,(ROW(C5)-1)*5,0)*1000</f>
        <v>142362.73941461253</v>
      </c>
      <c r="D6">
        <f ca="1">OFFSET(Solar!$C$11,(ROW(D5)-1)*5,0)*1000</f>
        <v>371518.84230403125</v>
      </c>
      <c r="E6">
        <f ca="1">OFFSET(Solar!$F$11,(ROW(Solar!E5)-1)*5,0)*1000</f>
        <v>371597.40062988061</v>
      </c>
      <c r="F6">
        <f ca="1">OFFSET(gas!$C$18,(ROW(gas!C5)-1)*5,0)*1000</f>
        <v>314962.83509030374</v>
      </c>
      <c r="G6">
        <f>ccs!$H$6*ccs!B24*8760</f>
        <v>1444480.6382143002</v>
      </c>
      <c r="H6">
        <f ca="1">OFFSET(gas!$F$18,(ROW(gas!E5)-1)*5,0)*1000</f>
        <v>348074.4065429882</v>
      </c>
      <c r="I6">
        <f>ccs!$H$6*ccs!B24*8760</f>
        <v>1444480.6382143002</v>
      </c>
      <c r="J6">
        <f ca="1">OFFSET(land!$C$12,(ROW(J5)-1)*5,0)*1000</f>
        <v>880072.14726822276</v>
      </c>
      <c r="K6">
        <f ca="1">OFFSET(offshore!$K$13,(ROW(K5)-1)*5,0)*1000</f>
        <v>2075879.4719771212</v>
      </c>
      <c r="L6">
        <f ca="1">OFFSET(coal!$C$20,(ROW(L5)-1)*5,0)*1000</f>
        <v>550665.03308012744</v>
      </c>
      <c r="M6">
        <f>ccs!$C$6*ccs!B24*8760</f>
        <v>1507359.4067247463</v>
      </c>
      <c r="N6">
        <f ca="1">OFFSET(coal!$F$20,(ROW(N5)-1)*5,0)*1000</f>
        <v>1051344.8815335608</v>
      </c>
      <c r="O6">
        <f>ccs!$F$6*ccs!B24*8760</f>
        <v>1144063.6805180791</v>
      </c>
      <c r="P6">
        <f ca="1">OFFSET(nuclear!$B$8,(ROW(P5)-1)*5,0)*1000</f>
        <v>1879782.7212859497</v>
      </c>
      <c r="Q6">
        <f t="shared" si="0"/>
        <v>918307.69230769225</v>
      </c>
      <c r="R6">
        <f t="shared" si="1"/>
        <v>2240153.8461538497</v>
      </c>
      <c r="S6">
        <f>SMR!T6</f>
        <v>468765.3364050269</v>
      </c>
      <c r="T6">
        <f>ccs!$J$6*ccs!B24*8760</f>
        <v>375890.89165449754</v>
      </c>
      <c r="U6">
        <f>SMR!V6</f>
        <v>2894835.8985402733</v>
      </c>
      <c r="V6">
        <f>ccs!$J$6*ccs!B24</f>
        <v>42.909919138641271</v>
      </c>
      <c r="W6">
        <f ca="1">OFFSET(Electrolyzer!$C$2,(ROW(W5)-1)*5,0)*1000</f>
        <v>452760</v>
      </c>
      <c r="X6">
        <f>'Fuel cell'!C6*1000</f>
        <v>1143219</v>
      </c>
      <c r="Y6">
        <f ca="1">OFFSET('H2 turbine'!$B$12,(ROW(Z5)-1)*5,0)*1000</f>
        <v>308333.33333333331</v>
      </c>
      <c r="Z6">
        <f>'hydrogen storage'!B13</f>
        <v>32825.1</v>
      </c>
      <c r="AA6">
        <f>'hydrogen storage'!D13</f>
        <v>1811.04</v>
      </c>
      <c r="AB6">
        <f>1.93*1.1*1.0928</f>
        <v>2.3200144000000003</v>
      </c>
      <c r="AC6">
        <f t="shared" si="2"/>
        <v>4.6400288000000005</v>
      </c>
      <c r="AD6">
        <f t="shared" ref="AD6:AD8" si="3">3.18*1.1*1.0928</f>
        <v>3.8226144000000009</v>
      </c>
      <c r="AE6">
        <f>DAC!B23*8760</f>
        <v>2376990</v>
      </c>
    </row>
    <row r="7" spans="1:31" x14ac:dyDescent="0.25">
      <c r="A7">
        <v>2045</v>
      </c>
      <c r="B7">
        <f ca="1">OFFSET(battery!$F$15,(ROW(B6)-1)*5,0)*1000</f>
        <v>431425.30164641637</v>
      </c>
      <c r="C7">
        <f ca="1">OFFSET(battery!$C$15,(ROW(C6)-1)*5,0)*1000</f>
        <v>126754.16823848918</v>
      </c>
      <c r="D7">
        <f ca="1">OFFSET(Solar!$C$11,(ROW(D6)-1)*5,0)*1000</f>
        <v>339613.21127092832</v>
      </c>
      <c r="E7">
        <f ca="1">OFFSET(Solar!$F$11,(ROW(Solar!E6)-1)*5,0)*1000</f>
        <v>331745.43130419438</v>
      </c>
      <c r="F7">
        <f ca="1">OFFSET(gas!$C$18,(ROW(gas!C6)-1)*5,0)*1000</f>
        <v>300458.2086574905</v>
      </c>
      <c r="G7">
        <f>ccs!$H$6*ccs!B25*8760</f>
        <v>1410088.2420663408</v>
      </c>
      <c r="H7">
        <f ca="1">OFFSET(gas!$F$18,(ROW(gas!E6)-1)*5,0)*1000</f>
        <v>333130.24597584741</v>
      </c>
      <c r="I7">
        <f>ccs!$H$6*ccs!B25*8760</f>
        <v>1410088.2420663408</v>
      </c>
      <c r="J7">
        <f ca="1">OFFSET(land!$C$12,(ROW(J6)-1)*5,0)*1000</f>
        <v>832012.10938362509</v>
      </c>
      <c r="K7">
        <f ca="1">OFFSET(offshore!$K$13,(ROW(K6)-1)*5,0)*1000</f>
        <v>2004930.7310270788</v>
      </c>
      <c r="L7">
        <f ca="1">OFFSET(coal!$C$20,(ROW(L6)-1)*5,0)*1000</f>
        <v>522948.7493638437</v>
      </c>
      <c r="M7">
        <f>ccs!$C$6*ccs!B25*8760</f>
        <v>1471469.8970408235</v>
      </c>
      <c r="N7">
        <f ca="1">OFFSET(coal!$F$20,(ROW(N6)-1)*5,0)*1000</f>
        <v>1040624.4321716022</v>
      </c>
      <c r="O7">
        <f>ccs!$F$6*ccs!B25*8760</f>
        <v>1116824.0690771723</v>
      </c>
      <c r="P7">
        <f ca="1">OFFSET(nuclear!$B$8,(ROW(P6)-1)*5,0)*1000</f>
        <v>1815208.0930648863</v>
      </c>
      <c r="Q7">
        <f t="shared" si="0"/>
        <v>918307.69230769225</v>
      </c>
      <c r="R7">
        <f t="shared" si="1"/>
        <v>2240153.8461538497</v>
      </c>
      <c r="S7">
        <f>SMR!T7</f>
        <v>447177.81771490118</v>
      </c>
      <c r="T7">
        <f>ccs!$J$6*ccs!B25*8760</f>
        <v>366941.10851986666</v>
      </c>
      <c r="U7">
        <f>SMR!V7</f>
        <v>2749131.9074456538</v>
      </c>
      <c r="V7">
        <f>ccs!$J$6*ccs!B25</f>
        <v>41.888254397245049</v>
      </c>
      <c r="W7">
        <f ca="1">OFFSET(Electrolyzer!$C$2,(ROW(W6)-1)*5,0)*1000</f>
        <v>639833.33333333349</v>
      </c>
      <c r="X7">
        <f>'Fuel cell'!C7*1000</f>
        <v>1052667.0000000002</v>
      </c>
      <c r="Y7">
        <f ca="1">OFFSET('H2 turbine'!$B$12,(ROW(Z6)-1)*5,0)*1000</f>
        <v>306722.22222222225</v>
      </c>
      <c r="Z7">
        <f>'hydrogen storage'!B14</f>
        <v>28863.449999999997</v>
      </c>
      <c r="AA7">
        <f>'hydrogen storage'!D14</f>
        <v>1629.9359999999999</v>
      </c>
      <c r="AB7">
        <f t="shared" ref="AB7:AB8" si="4">1.93*1.1*1.0928</f>
        <v>2.3200144000000003</v>
      </c>
      <c r="AC7">
        <f t="shared" si="2"/>
        <v>4.6400288000000005</v>
      </c>
      <c r="AD7">
        <f t="shared" si="3"/>
        <v>3.8226144000000009</v>
      </c>
      <c r="AE7">
        <f>DAC!B24*8760</f>
        <v>2207205</v>
      </c>
    </row>
    <row r="8" spans="1:31" x14ac:dyDescent="0.25">
      <c r="A8">
        <v>2050</v>
      </c>
      <c r="B8">
        <f ca="1">OFFSET(battery!$F$15,(ROW(B7)-1)*5,0)*1000</f>
        <v>412034.80642593093</v>
      </c>
      <c r="C8">
        <f ca="1">OFFSET(battery!$C$15,(ROW(C7)-1)*5,0)*1000</f>
        <v>111278.95707392975</v>
      </c>
      <c r="D8">
        <f ca="1">OFFSET(Solar!$C$11,(ROW(D7)-1)*5,0)*1000</f>
        <v>307707.58023782534</v>
      </c>
      <c r="E8">
        <f ca="1">OFFSET(Solar!$F$11,(ROW(Solar!E7)-1)*5,0)*1000</f>
        <v>291893.46197850793</v>
      </c>
      <c r="F8">
        <f ca="1">OFFSET(gas!$C$18,(ROW(gas!C7)-1)*5,0)*1000</f>
        <v>285953.58222467743</v>
      </c>
      <c r="G8">
        <f>ccs!$H$6*ccs!B26*8760</f>
        <v>1375695.8459183811</v>
      </c>
      <c r="H8">
        <f ca="1">OFFSET(gas!$F$18,(ROW(gas!E7)-1)*5,0)*1000</f>
        <v>318222.71325323387</v>
      </c>
      <c r="I8">
        <f>ccs!$H$6*ccs!B26*8760</f>
        <v>1375695.8459183811</v>
      </c>
      <c r="J8">
        <f ca="1">OFFSET(land!$C$12,(ROW(J7)-1)*5,0)*1000</f>
        <v>783952.07149902824</v>
      </c>
      <c r="K8">
        <f ca="1">OFFSET(offshore!$K$13,(ROW(K7)-1)*5,0)*1000</f>
        <v>1946500.3253128789</v>
      </c>
      <c r="L8">
        <f ca="1">OFFSET(coal!$C$20,(ROW(L7)-1)*5,0)*1000</f>
        <v>495210.67611633649</v>
      </c>
      <c r="M8">
        <f>ccs!$C$6*ccs!B26*8760</f>
        <v>1435580.3873569011</v>
      </c>
      <c r="N8">
        <f ca="1">OFFSET(coal!$F$20,(ROW(N7)-1)*5,0)*1000</f>
        <v>1029882.1932784199</v>
      </c>
      <c r="O8">
        <f>ccs!$F$6*ccs!B26*8760</f>
        <v>1089584.4576362655</v>
      </c>
      <c r="P8">
        <f ca="1">OFFSET(nuclear!$B$8,(ROW(P7)-1)*5,0)*1000</f>
        <v>1738729.5618643423</v>
      </c>
      <c r="Q8">
        <f t="shared" si="0"/>
        <v>918307.69230769225</v>
      </c>
      <c r="R8">
        <f t="shared" si="1"/>
        <v>2240153.8461538497</v>
      </c>
      <c r="S8">
        <f>SMR!T8</f>
        <v>425590.29902477557</v>
      </c>
      <c r="T8">
        <f>ccs!$J$6*ccs!B26*8760</f>
        <v>357991.32538523572</v>
      </c>
      <c r="U8">
        <f>SMR!V8</f>
        <v>2603313.369188224</v>
      </c>
      <c r="V8">
        <f>ccs!$J$6*ccs!B26</f>
        <v>40.866589655848827</v>
      </c>
      <c r="W8">
        <f ca="1">OFFSET(Electrolyzer!$B$2,(ROW(W7)-1)*5,0)*1000</f>
        <v>282975</v>
      </c>
      <c r="X8">
        <f>'Fuel cell'!B8*1000</f>
        <v>599906.99999999988</v>
      </c>
      <c r="Y8">
        <f ca="1">OFFSET('H2 turbine'!$B$12,(ROW(Z7)-1)*5,0)*1000</f>
        <v>305111.11111111112</v>
      </c>
      <c r="Z8">
        <f>'hydrogen storage'!B16</f>
        <v>24901.8</v>
      </c>
      <c r="AA8">
        <f>'hydrogen storage'!E15</f>
        <v>1199.8139999999999</v>
      </c>
      <c r="AB8">
        <f t="shared" si="4"/>
        <v>2.3200144000000003</v>
      </c>
      <c r="AC8">
        <f t="shared" si="2"/>
        <v>4.6400288000000005</v>
      </c>
      <c r="AD8">
        <f t="shared" si="3"/>
        <v>3.8226144000000009</v>
      </c>
      <c r="AE8">
        <f>DAC!B25*8760</f>
        <v>2037419.9999999998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workbookViewId="0">
      <selection activeCell="P11" sqref="P11"/>
    </sheetView>
  </sheetViews>
  <sheetFormatPr defaultRowHeight="15" x14ac:dyDescent="0.25"/>
  <sheetData>
    <row r="1" spans="1:31" x14ac:dyDescent="0.25">
      <c r="A1" t="s">
        <v>1</v>
      </c>
      <c r="B1" t="s">
        <v>2</v>
      </c>
      <c r="C1" t="s">
        <v>33</v>
      </c>
      <c r="D1" t="s">
        <v>3</v>
      </c>
      <c r="E1" t="s">
        <v>4</v>
      </c>
      <c r="F1" t="s">
        <v>41</v>
      </c>
      <c r="G1" t="s">
        <v>115</v>
      </c>
      <c r="H1" t="s">
        <v>42</v>
      </c>
      <c r="I1" t="s">
        <v>114</v>
      </c>
      <c r="J1" t="s">
        <v>0</v>
      </c>
      <c r="K1" t="s">
        <v>5</v>
      </c>
      <c r="L1" t="s">
        <v>43</v>
      </c>
      <c r="M1" t="s">
        <v>85</v>
      </c>
      <c r="N1" t="s">
        <v>44</v>
      </c>
      <c r="O1" t="s">
        <v>86</v>
      </c>
      <c r="P1" t="s">
        <v>45</v>
      </c>
      <c r="Q1" t="s">
        <v>31</v>
      </c>
      <c r="R1" t="s">
        <v>32</v>
      </c>
      <c r="S1" t="s">
        <v>73</v>
      </c>
      <c r="T1" t="s">
        <v>87</v>
      </c>
      <c r="U1" t="s">
        <v>74</v>
      </c>
      <c r="V1" t="s">
        <v>88</v>
      </c>
      <c r="W1" t="s">
        <v>69</v>
      </c>
      <c r="X1" t="s">
        <v>53</v>
      </c>
      <c r="Y1" t="s">
        <v>46</v>
      </c>
      <c r="Z1" t="s">
        <v>52</v>
      </c>
      <c r="AA1" t="s">
        <v>68</v>
      </c>
      <c r="AB1" t="s">
        <v>82</v>
      </c>
      <c r="AC1" t="s">
        <v>83</v>
      </c>
      <c r="AD1" t="s">
        <v>84</v>
      </c>
      <c r="AE1" t="s">
        <v>124</v>
      </c>
    </row>
    <row r="2" spans="1:31" x14ac:dyDescent="0.25">
      <c r="A2">
        <v>2020</v>
      </c>
      <c r="B2">
        <f ca="1">OFFSET(battery!$F$15,(ROW(B1)-1)*5,0)*1000</f>
        <v>492307.69230769231</v>
      </c>
      <c r="C2">
        <f ca="1">OFFSET(battery!$C$15,(ROW(C1)-1)*5,0)*1000</f>
        <v>246153.84615384619</v>
      </c>
      <c r="D2">
        <f ca="1">OFFSET(Solar!$C$11,(ROW(D1)-1)*5,0)*1000</f>
        <v>628000</v>
      </c>
      <c r="E2">
        <f ca="1">OFFSET(Solar!$F$11,(ROW(Solar!E1)-1)*5,0)*1000</f>
        <v>746000</v>
      </c>
      <c r="F2">
        <f ca="1">OFFSET(gas!$C$18,(ROW(gas!C1)-1)*5,0)*1000</f>
        <v>367230.76923076925</v>
      </c>
      <c r="G2">
        <f>ccs!$H$6*ccs!B20*8760</f>
        <v>2957746.0687245196</v>
      </c>
      <c r="H2">
        <f ca="1">OFFSET(gas!$F$18,(ROW(gas!E1)-1)*5,0)*1000</f>
        <v>408913.25630284339</v>
      </c>
      <c r="I2">
        <f>ccs!$H$6*ccs!B20*8760</f>
        <v>2957746.0687245196</v>
      </c>
      <c r="J2">
        <f ca="1">OFFSET(land!$C$12,(ROW(J1)-1)*5,0)*1000</f>
        <v>1157000</v>
      </c>
      <c r="K2">
        <f ca="1">OFFSET(offshore!$K$13,(ROW(K1)-1)*5,0)*1000</f>
        <v>2857000</v>
      </c>
      <c r="L2">
        <f ca="1">OFFSET(coal!$C$20,(ROW(L1)-1)*5,0)*1000</f>
        <v>622461.5384615385</v>
      </c>
      <c r="M2">
        <f>ccs!$C$6*ccs!B20*8760</f>
        <v>3086497.8328173375</v>
      </c>
      <c r="N2">
        <f ca="1">OFFSET(coal!$F$20,(ROW(N1)-1)*5,0)*1000</f>
        <v>1089999.5099240381</v>
      </c>
      <c r="O2">
        <f>ccs!$F$6*ccs!B20*8760</f>
        <v>2342606.5839179712</v>
      </c>
      <c r="P2">
        <f ca="1">OFFSET(nuclear!$C$8,(ROW(P1)-1)*5,0)*1000</f>
        <v>2461538.4615384615</v>
      </c>
      <c r="Q2">
        <f>5969/6.5*1000</f>
        <v>918307.69230769225</v>
      </c>
      <c r="R2">
        <f>2240.15384615385*1000</f>
        <v>2240153.8461538497</v>
      </c>
      <c r="S2">
        <f>SMR!T2</f>
        <v>546556.72319999989</v>
      </c>
      <c r="T2">
        <f>ccs!$J$6*ccs!B20*8760</f>
        <v>769681.34957825672</v>
      </c>
      <c r="U2">
        <f>SMR!V2</f>
        <v>3272268.8</v>
      </c>
      <c r="V2">
        <f>ccs!$J$6*ccs!B20</f>
        <v>87.863167760074973</v>
      </c>
      <c r="W2">
        <f ca="1">OFFSET(Electrolyzer!$C$2,(ROW(W1)-1)*5,0)*1000</f>
        <v>1245090</v>
      </c>
      <c r="X2">
        <f>'Fuel cell'!C2*1000</f>
        <v>1562022.0000000002</v>
      </c>
      <c r="Y2">
        <f ca="1">OFFSET('H2 turbine'!$B$12,(ROW(Z1)-1)*5,0)*1000</f>
        <v>314777.77777777775</v>
      </c>
      <c r="Z2">
        <f>'hydrogen storage'!B9</f>
        <v>69045.899999999994</v>
      </c>
      <c r="AA2">
        <f>'hydrogen storage'!D9</f>
        <v>3610.7609999999995</v>
      </c>
      <c r="AB2">
        <f>2.36*1.1*1.0928</f>
        <v>2.8369088000000002</v>
      </c>
      <c r="AC2">
        <f>AB2*2</f>
        <v>5.6738176000000005</v>
      </c>
      <c r="AD2">
        <f>3.89*1.1*1.0928</f>
        <v>4.676091200000001</v>
      </c>
      <c r="AE2">
        <f>DAC!B19*8760</f>
        <v>7357349.9999999991</v>
      </c>
    </row>
    <row r="3" spans="1:31" x14ac:dyDescent="0.25">
      <c r="A3">
        <v>2025</v>
      </c>
      <c r="B3">
        <f ca="1">OFFSET(battery!$F$15,(ROW(B2)-1)*5,0)*1000</f>
        <v>474606.98277086945</v>
      </c>
      <c r="C3">
        <f ca="1">OFFSET(battery!$C$15,(ROW(C2)-1)*5,0)*1000</f>
        <v>219340.5647717136</v>
      </c>
      <c r="D3">
        <f ca="1">OFFSET(Solar!$C$11,(ROW(D2)-1)*5,0)*1000</f>
        <v>607009.57568009151</v>
      </c>
      <c r="E3">
        <f ca="1">OFFSET(Solar!$F$11,(ROW(Solar!E2)-1)*5,0)*1000</f>
        <v>686543.82764240284</v>
      </c>
      <c r="F3">
        <f ca="1">OFFSET(gas!$C$18,(ROW(gas!C2)-1)*5,0)*1000</f>
        <v>358513.34223327041</v>
      </c>
      <c r="G3">
        <f>ccs!$H$6*ccs!B21*8760</f>
        <v>2063543.7688775717</v>
      </c>
      <c r="H3">
        <f ca="1">OFFSET(gas!$F$18,(ROW(gas!E2)-1)*5,0)*1000</f>
        <v>398327.80923445197</v>
      </c>
      <c r="I3">
        <f>ccs!$H$6*ccs!B21*8760</f>
        <v>2063543.7688775717</v>
      </c>
      <c r="J3">
        <f ca="1">OFFSET(land!$C$12,(ROW(J2)-1)*5,0)*1000</f>
        <v>1076640.9880166219</v>
      </c>
      <c r="K3">
        <f ca="1">OFFSET(offshore!$K$13,(ROW(K2)-1)*5,0)*1000</f>
        <v>2492043.9563389542</v>
      </c>
      <c r="L3">
        <f ca="1">OFFSET(coal!$C$20,(ROW(L2)-1)*5,0)*1000</f>
        <v>612285.82738016697</v>
      </c>
      <c r="M3">
        <f>ccs!$C$6*ccs!B21*8760</f>
        <v>2153370.5810353518</v>
      </c>
      <c r="N3">
        <f ca="1">OFFSET(coal!$F$20,(ROW(N2)-1)*5,0)*1000</f>
        <v>1083549.8086818843</v>
      </c>
      <c r="O3">
        <f>ccs!$F$6*ccs!B21*8760</f>
        <v>1634376.6864543986</v>
      </c>
      <c r="P3">
        <f ca="1">OFFSET(nuclear!$C$8,(ROW(P2)-1)*5,0)*1000</f>
        <v>2297494.478094914</v>
      </c>
      <c r="Q3">
        <f t="shared" ref="Q3:Q8" si="0">5969/6.5*1000</f>
        <v>918307.69230769225</v>
      </c>
      <c r="R3">
        <f t="shared" ref="R3:R8" si="1">2240.15384615385*1000</f>
        <v>2240153.8461538497</v>
      </c>
      <c r="S3">
        <f>SMR!T3</f>
        <v>533582.40641149005</v>
      </c>
      <c r="T3">
        <f>ccs!$J$6*ccs!B21*8760</f>
        <v>536986.98807785357</v>
      </c>
      <c r="U3">
        <f>SMR!V3</f>
        <v>3218775.2749676201</v>
      </c>
      <c r="V3">
        <f>ccs!$J$6*ccs!B21</f>
        <v>61.299884483773241</v>
      </c>
      <c r="W3">
        <f ca="1">OFFSET(Electrolyzer!$C$2,(ROW(W2)-1)*5,0)*1000</f>
        <v>905520</v>
      </c>
      <c r="X3">
        <f>'Fuel cell'!C3*1000</f>
        <v>1443172.5000000002</v>
      </c>
      <c r="Y3">
        <f ca="1">OFFSET('H2 turbine'!$B$12,(ROW(Z2)-1)*5,0)*1000</f>
        <v>313166.66666666669</v>
      </c>
      <c r="Z3">
        <f>'hydrogen storage'!B10</f>
        <v>61688.549999999996</v>
      </c>
      <c r="AA3">
        <f>'hydrogen storage'!D10</f>
        <v>3010.8539999999994</v>
      </c>
      <c r="AB3">
        <f>2.25*1.1*1.0928</f>
        <v>2.7046800000000002</v>
      </c>
      <c r="AC3">
        <f t="shared" ref="AC3:AC8" si="2">AB3*2</f>
        <v>5.4093600000000004</v>
      </c>
      <c r="AD3">
        <f>3.7*1.1*1.0928</f>
        <v>4.4476960000000005</v>
      </c>
      <c r="AE3">
        <f>DAC!B20*8760</f>
        <v>5433120</v>
      </c>
    </row>
    <row r="4" spans="1:31" x14ac:dyDescent="0.25">
      <c r="A4">
        <v>2030</v>
      </c>
      <c r="B4">
        <f ca="1">OFFSET(battery!$F$15,(ROW(B3)-1)*5,0)*1000</f>
        <v>483790.42077117879</v>
      </c>
      <c r="C4">
        <f ca="1">OFFSET(battery!$C$15,(ROW(C3)-1)*5,0)*1000</f>
        <v>173879.94718483053</v>
      </c>
      <c r="D4">
        <f ca="1">OFFSET(Solar!$C$11,(ROW(D3)-1)*5,0)*1000</f>
        <v>505217.02450861299</v>
      </c>
      <c r="E4">
        <f ca="1">OFFSET(Solar!$F$11,(ROW(Solar!E3)-1)*5,0)*1000</f>
        <v>548996.59879898466</v>
      </c>
      <c r="F4">
        <f ca="1">OFFSET(gas!$C$18,(ROW(gas!C3)-1)*5,0)*1000</f>
        <v>344008.71580045728</v>
      </c>
      <c r="G4">
        <f>ccs!$H$6*ccs!B22*8760</f>
        <v>1719619.8073979765</v>
      </c>
      <c r="H4">
        <f ca="1">OFFSET(gas!$F$18,(ROW(gas!E3)-1)*5,0)*1000</f>
        <v>380673.18817229051</v>
      </c>
      <c r="I4">
        <f>ccs!$H$6*ccs!B22*8760</f>
        <v>1719619.8073979765</v>
      </c>
      <c r="J4">
        <f ca="1">OFFSET(land!$C$12,(ROW(J3)-1)*5,0)*1000</f>
        <v>976192.22303741041</v>
      </c>
      <c r="K4">
        <f ca="1">OFFSET(offshore!$K$13,(ROW(K3)-1)*5,0)*1000</f>
        <v>2290687.2747561219</v>
      </c>
      <c r="L4">
        <f ca="1">OFFSET(coal!$C$20,(ROW(L3)-1)*5,0)*1000</f>
        <v>595355.36161951255</v>
      </c>
      <c r="M4">
        <f>ccs!$C$6*ccs!B22*8760</f>
        <v>1794475.4841961265</v>
      </c>
      <c r="N4">
        <f ca="1">OFFSET(coal!$F$20,(ROW(N3)-1)*5,0)*1000</f>
        <v>1072807.5697887018</v>
      </c>
      <c r="O4">
        <f>ccs!$F$6*ccs!B22*8760</f>
        <v>1361980.5720453321</v>
      </c>
      <c r="P4">
        <f ca="1">OFFSET(nuclear!$C$8,(ROW(P3)-1)*5,0)*1000</f>
        <v>2297494.478094914</v>
      </c>
      <c r="Q4">
        <f t="shared" si="0"/>
        <v>918307.69230769225</v>
      </c>
      <c r="R4">
        <f t="shared" si="1"/>
        <v>2240153.8461538497</v>
      </c>
      <c r="S4">
        <f>SMR!T4</f>
        <v>511994.88772136444</v>
      </c>
      <c r="T4">
        <f>ccs!$J$6*ccs!B22*8760</f>
        <v>447489.15673154464</v>
      </c>
      <c r="U4">
        <f>SMR!V4</f>
        <v>3129772.1294640666</v>
      </c>
      <c r="V4">
        <f>ccs!$J$6*ccs!B22</f>
        <v>51.083237069811034</v>
      </c>
      <c r="W4">
        <f ca="1">OFFSET(Electrolyzer!$C$2,(ROW(W3)-1)*5,0)*1000</f>
        <v>565950</v>
      </c>
      <c r="X4">
        <f>'Fuel cell'!C4*1000</f>
        <v>1324322.9999999998</v>
      </c>
      <c r="Y4">
        <f ca="1">OFFSET('H2 turbine'!$B$12,(ROW(Z3)-1)*5,0)*1000</f>
        <v>311555.55555555556</v>
      </c>
      <c r="Z4">
        <f>'hydrogen storage'!B11</f>
        <v>54331.199999999997</v>
      </c>
      <c r="AA4">
        <f>'hydrogen storage'!D11</f>
        <v>2410.9469999999997</v>
      </c>
      <c r="AB4">
        <f>2.14*1.1*1.0928</f>
        <v>2.5724512000000006</v>
      </c>
      <c r="AC4">
        <f t="shared" si="2"/>
        <v>5.1449024000000012</v>
      </c>
      <c r="AD4">
        <f>3.52*1.1*1.0928</f>
        <v>4.2313216000000002</v>
      </c>
      <c r="AE4">
        <f>DAC!B21*8760</f>
        <v>3395699.9999999995</v>
      </c>
    </row>
    <row r="5" spans="1:31" x14ac:dyDescent="0.25">
      <c r="A5">
        <v>2035</v>
      </c>
      <c r="B5">
        <f ca="1">OFFSET(battery!$F$15,(ROW(B4)-1)*5,0)*1000</f>
        <v>467109.57439716003</v>
      </c>
      <c r="C5">
        <f ca="1">OFFSET(battery!$C$15,(ROW(C4)-1)*5,0)*1000</f>
        <v>158078.00013369246</v>
      </c>
      <c r="D5">
        <f ca="1">OFFSET(Solar!$C$11,(ROW(D4)-1)*5,0)*1000</f>
        <v>403424.47333713423</v>
      </c>
      <c r="E5">
        <f ca="1">OFFSET(Solar!$F$11,(ROW(Solar!E4)-1)*5,0)*1000</f>
        <v>411449.36995556689</v>
      </c>
      <c r="F5">
        <f ca="1">OFFSET(gas!$C$18,(ROW(gas!C4)-1)*5,0)*1000</f>
        <v>329504.08936764416</v>
      </c>
      <c r="G5">
        <f>ccs!$H$6*ccs!B23*8760</f>
        <v>1582050.2228061385</v>
      </c>
      <c r="H5">
        <f ca="1">OFFSET(gas!$F$18,(ROW(gas!E4)-1)*5,0)*1000</f>
        <v>363018.56711012905</v>
      </c>
      <c r="I5">
        <f>ccs!$H$6*ccs!B23*8760</f>
        <v>1582050.2228061385</v>
      </c>
      <c r="J5">
        <f ca="1">OFFSET(land!$C$12,(ROW(J4)-1)*5,0)*1000</f>
        <v>928132.1851528117</v>
      </c>
      <c r="K5">
        <f ca="1">OFFSET(offshore!$K$13,(ROW(K4)-1)*5,0)*1000</f>
        <v>2166215.1199255665</v>
      </c>
      <c r="L5">
        <f ca="1">OFFSET(coal!$C$20,(ROW(L4)-1)*5,0)*1000</f>
        <v>578403.10632763465</v>
      </c>
      <c r="M5">
        <f>ccs!$C$6*ccs!B23*8760</f>
        <v>1650917.4454604364</v>
      </c>
      <c r="N5">
        <f ca="1">OFFSET(coal!$F$20,(ROW(N4)-1)*5,0)*1000</f>
        <v>1062087.1204267431</v>
      </c>
      <c r="O5">
        <f>ccs!$F$6*ccs!B23*8760</f>
        <v>1253022.1262817057</v>
      </c>
      <c r="P5">
        <f ca="1">OFFSET(nuclear!$C$8,(ROW(P4)-1)*5,0)*1000</f>
        <v>2297494.478094914</v>
      </c>
      <c r="Q5">
        <f t="shared" si="0"/>
        <v>918307.69230769225</v>
      </c>
      <c r="R5">
        <f t="shared" si="1"/>
        <v>2240153.8461538497</v>
      </c>
      <c r="S5">
        <f>SMR!T5</f>
        <v>490407.36903123878</v>
      </c>
      <c r="T5">
        <f>ccs!$J$6*ccs!B23*8760</f>
        <v>411690.02419302112</v>
      </c>
      <c r="U5">
        <f>SMR!V5</f>
        <v>3040654.4367977036</v>
      </c>
      <c r="V5">
        <f>ccs!$J$6*ccs!B23</f>
        <v>46.996578104226153</v>
      </c>
      <c r="W5">
        <f ca="1">OFFSET(Electrolyzer!$C$2,(ROW(W4)-1)*5,0)*1000</f>
        <v>694166.66666666674</v>
      </c>
      <c r="X5">
        <f>'Fuel cell'!C5*1000</f>
        <v>1233771</v>
      </c>
      <c r="Y5">
        <f ca="1">OFFSET('H2 turbine'!$B$12,(ROW(Z4)-1)*5,0)*1000</f>
        <v>309944.44444444444</v>
      </c>
      <c r="Z5">
        <f>'hydrogen storage'!B12</f>
        <v>43578.149999999994</v>
      </c>
      <c r="AA5">
        <f>'hydrogen storage'!D12</f>
        <v>2110.9934999999996</v>
      </c>
      <c r="AB5">
        <f>(AB4+AB6)/2</f>
        <v>2.4462328000000007</v>
      </c>
      <c r="AC5">
        <f t="shared" si="2"/>
        <v>4.8924656000000013</v>
      </c>
      <c r="AD5">
        <f>(AD4+AD6)/2</f>
        <v>4.0269680000000001</v>
      </c>
      <c r="AE5">
        <f>DAC!B22*8760</f>
        <v>2886345</v>
      </c>
    </row>
    <row r="6" spans="1:31" x14ac:dyDescent="0.25">
      <c r="A6">
        <v>2040</v>
      </c>
      <c r="B6">
        <f ca="1">OFFSET(battery!$F$15,(ROW(B5)-1)*5,0)*1000</f>
        <v>449709.83080580318</v>
      </c>
      <c r="C6">
        <f ca="1">OFFSET(battery!$C$15,(ROW(C5)-1)*5,0)*1000</f>
        <v>142362.73941461253</v>
      </c>
      <c r="D6">
        <f ca="1">OFFSET(Solar!$C$11,(ROW(D5)-1)*5,0)*1000</f>
        <v>371518.84230403125</v>
      </c>
      <c r="E6">
        <f ca="1">OFFSET(Solar!$F$11,(ROW(Solar!E5)-1)*5,0)*1000</f>
        <v>371597.40062988061</v>
      </c>
      <c r="F6">
        <f ca="1">OFFSET(gas!$C$18,(ROW(gas!C5)-1)*5,0)*1000</f>
        <v>314962.83509030374</v>
      </c>
      <c r="G6">
        <f>ccs!$H$6*ccs!B24*8760</f>
        <v>1444480.6382143002</v>
      </c>
      <c r="H6">
        <f ca="1">OFFSET(gas!$F$18,(ROW(gas!E5)-1)*5,0)*1000</f>
        <v>348074.4065429882</v>
      </c>
      <c r="I6">
        <f>ccs!$H$6*ccs!B24*8760</f>
        <v>1444480.6382143002</v>
      </c>
      <c r="J6">
        <f ca="1">OFFSET(land!$C$12,(ROW(J5)-1)*5,0)*1000</f>
        <v>880072.14726822276</v>
      </c>
      <c r="K6">
        <f ca="1">OFFSET(offshore!$K$13,(ROW(K5)-1)*5,0)*1000</f>
        <v>2075879.4719771212</v>
      </c>
      <c r="L6">
        <f ca="1">OFFSET(coal!$C$20,(ROW(L5)-1)*5,0)*1000</f>
        <v>550665.03308012744</v>
      </c>
      <c r="M6">
        <f>ccs!$C$6*ccs!B24*8760</f>
        <v>1507359.4067247463</v>
      </c>
      <c r="N6">
        <f ca="1">OFFSET(coal!$F$20,(ROW(N5)-1)*5,0)*1000</f>
        <v>1051344.8815335608</v>
      </c>
      <c r="O6">
        <f>ccs!$F$6*ccs!B24*8760</f>
        <v>1144063.6805180791</v>
      </c>
      <c r="P6">
        <f ca="1">OFFSET(nuclear!$C$8,(ROW(P5)-1)*5,0)*1000</f>
        <v>2297494.478094914</v>
      </c>
      <c r="Q6">
        <f t="shared" si="0"/>
        <v>918307.69230769225</v>
      </c>
      <c r="R6">
        <f t="shared" si="1"/>
        <v>2240153.8461538497</v>
      </c>
      <c r="S6">
        <f>SMR!T6</f>
        <v>468765.3364050269</v>
      </c>
      <c r="T6">
        <f>ccs!$J$6*ccs!B24*8760</f>
        <v>375890.89165449754</v>
      </c>
      <c r="U6">
        <f>SMR!V6</f>
        <v>2894835.8985402733</v>
      </c>
      <c r="V6">
        <f>ccs!$J$6*ccs!B24</f>
        <v>42.909919138641271</v>
      </c>
      <c r="W6">
        <f ca="1">OFFSET(Electrolyzer!$C$2,(ROW(W5)-1)*5,0)*1000</f>
        <v>452760</v>
      </c>
      <c r="X6">
        <f>'Fuel cell'!C6*1000</f>
        <v>1143219</v>
      </c>
      <c r="Y6">
        <f ca="1">OFFSET('H2 turbine'!$B$12,(ROW(Z5)-1)*5,0)*1000</f>
        <v>308333.33333333331</v>
      </c>
      <c r="Z6">
        <f>'hydrogen storage'!B13</f>
        <v>32825.1</v>
      </c>
      <c r="AA6">
        <f>'hydrogen storage'!D13</f>
        <v>1811.04</v>
      </c>
      <c r="AB6">
        <f>1.93*1.1*1.0928</f>
        <v>2.3200144000000003</v>
      </c>
      <c r="AC6">
        <f t="shared" si="2"/>
        <v>4.6400288000000005</v>
      </c>
      <c r="AD6">
        <f t="shared" ref="AD6:AD8" si="3">3.18*1.1*1.0928</f>
        <v>3.8226144000000009</v>
      </c>
      <c r="AE6">
        <f>DAC!B23*8760</f>
        <v>2376990</v>
      </c>
    </row>
    <row r="7" spans="1:31" x14ac:dyDescent="0.25">
      <c r="A7">
        <v>2045</v>
      </c>
      <c r="B7">
        <f ca="1">OFFSET(battery!$F$15,(ROW(B6)-1)*5,0)*1000</f>
        <v>431425.30164641637</v>
      </c>
      <c r="C7">
        <f ca="1">OFFSET(battery!$C$15,(ROW(C6)-1)*5,0)*1000</f>
        <v>126754.16823848918</v>
      </c>
      <c r="D7">
        <f ca="1">OFFSET(Solar!$C$11,(ROW(D6)-1)*5,0)*1000</f>
        <v>339613.21127092832</v>
      </c>
      <c r="E7">
        <f ca="1">OFFSET(Solar!$F$11,(ROW(Solar!E6)-1)*5,0)*1000</f>
        <v>331745.43130419438</v>
      </c>
      <c r="F7">
        <f ca="1">OFFSET(gas!$C$18,(ROW(gas!C6)-1)*5,0)*1000</f>
        <v>300458.2086574905</v>
      </c>
      <c r="G7">
        <f>ccs!$H$6*ccs!B25*8760</f>
        <v>1410088.2420663408</v>
      </c>
      <c r="H7">
        <f ca="1">OFFSET(gas!$F$18,(ROW(gas!E6)-1)*5,0)*1000</f>
        <v>333130.24597584741</v>
      </c>
      <c r="I7">
        <f>ccs!$H$6*ccs!B25*8760</f>
        <v>1410088.2420663408</v>
      </c>
      <c r="J7">
        <f ca="1">OFFSET(land!$C$12,(ROW(J6)-1)*5,0)*1000</f>
        <v>832012.10938362509</v>
      </c>
      <c r="K7">
        <f ca="1">OFFSET(offshore!$K$13,(ROW(K6)-1)*5,0)*1000</f>
        <v>2004930.7310270788</v>
      </c>
      <c r="L7">
        <f ca="1">OFFSET(coal!$C$20,(ROW(L6)-1)*5,0)*1000</f>
        <v>522948.7493638437</v>
      </c>
      <c r="M7">
        <f>ccs!$C$6*ccs!B25*8760</f>
        <v>1471469.8970408235</v>
      </c>
      <c r="N7">
        <f ca="1">OFFSET(coal!$F$20,(ROW(N6)-1)*5,0)*1000</f>
        <v>1040624.4321716022</v>
      </c>
      <c r="O7">
        <f>ccs!$F$6*ccs!B25*8760</f>
        <v>1116824.0690771723</v>
      </c>
      <c r="P7">
        <f ca="1">OFFSET(nuclear!$C$8,(ROW(P6)-1)*5,0)*1000</f>
        <v>2297494.478094914</v>
      </c>
      <c r="Q7">
        <f t="shared" si="0"/>
        <v>918307.69230769225</v>
      </c>
      <c r="R7">
        <f t="shared" si="1"/>
        <v>2240153.8461538497</v>
      </c>
      <c r="S7">
        <f>SMR!T7</f>
        <v>447177.81771490118</v>
      </c>
      <c r="T7">
        <f>ccs!$J$6*ccs!B25*8760</f>
        <v>366941.10851986666</v>
      </c>
      <c r="U7">
        <f>SMR!V7</f>
        <v>2749131.9074456538</v>
      </c>
      <c r="V7">
        <f>ccs!$J$6*ccs!B25</f>
        <v>41.888254397245049</v>
      </c>
      <c r="W7">
        <f ca="1">OFFSET(Electrolyzer!$C$2,(ROW(W6)-1)*5,0)*1000</f>
        <v>639833.33333333349</v>
      </c>
      <c r="X7">
        <f>'Fuel cell'!C7*1000</f>
        <v>1052667.0000000002</v>
      </c>
      <c r="Y7">
        <f ca="1">OFFSET('H2 turbine'!$B$12,(ROW(Z6)-1)*5,0)*1000</f>
        <v>306722.22222222225</v>
      </c>
      <c r="Z7">
        <f>'hydrogen storage'!B14</f>
        <v>28863.449999999997</v>
      </c>
      <c r="AA7">
        <f>'hydrogen storage'!D14</f>
        <v>1629.9359999999999</v>
      </c>
      <c r="AB7">
        <f t="shared" ref="AB7:AB8" si="4">1.93*1.1*1.0928</f>
        <v>2.3200144000000003</v>
      </c>
      <c r="AC7">
        <f t="shared" si="2"/>
        <v>4.6400288000000005</v>
      </c>
      <c r="AD7">
        <f t="shared" si="3"/>
        <v>3.8226144000000009</v>
      </c>
      <c r="AE7">
        <f>DAC!B24*8760</f>
        <v>2207205</v>
      </c>
    </row>
    <row r="8" spans="1:31" x14ac:dyDescent="0.25">
      <c r="A8">
        <v>2050</v>
      </c>
      <c r="B8">
        <f ca="1">OFFSET(battery!$F$15,(ROW(B7)-1)*5,0)*1000</f>
        <v>412034.80642593093</v>
      </c>
      <c r="C8">
        <f ca="1">OFFSET(battery!$C$15,(ROW(C7)-1)*5,0)*1000</f>
        <v>111278.95707392975</v>
      </c>
      <c r="D8">
        <f ca="1">OFFSET(Solar!$C$11,(ROW(D7)-1)*5,0)*1000</f>
        <v>307707.58023782534</v>
      </c>
      <c r="E8">
        <f ca="1">OFFSET(Solar!$F$11,(ROW(Solar!E7)-1)*5,0)*1000</f>
        <v>291893.46197850793</v>
      </c>
      <c r="F8">
        <f ca="1">OFFSET(gas!$C$18,(ROW(gas!C7)-1)*5,0)*1000</f>
        <v>285953.58222467743</v>
      </c>
      <c r="G8">
        <f>ccs!$H$6*ccs!B26*8760</f>
        <v>1375695.8459183811</v>
      </c>
      <c r="H8">
        <f ca="1">OFFSET(gas!$F$18,(ROW(gas!E7)-1)*5,0)*1000</f>
        <v>318222.71325323387</v>
      </c>
      <c r="I8">
        <f>ccs!$H$6*ccs!B26*8760</f>
        <v>1375695.8459183811</v>
      </c>
      <c r="J8">
        <f ca="1">OFFSET(land!$C$12,(ROW(J7)-1)*5,0)*1000</f>
        <v>783952.07149902824</v>
      </c>
      <c r="K8">
        <f ca="1">OFFSET(offshore!$K$13,(ROW(K7)-1)*5,0)*1000</f>
        <v>1946500.3253128789</v>
      </c>
      <c r="L8">
        <f ca="1">OFFSET(coal!$C$20,(ROW(L7)-1)*5,0)*1000</f>
        <v>495210.67611633649</v>
      </c>
      <c r="M8">
        <f>ccs!$C$6*ccs!B26*8760</f>
        <v>1435580.3873569011</v>
      </c>
      <c r="N8">
        <f ca="1">OFFSET(coal!$F$20,(ROW(N7)-1)*5,0)*1000</f>
        <v>1029882.1932784199</v>
      </c>
      <c r="O8">
        <f>ccs!$F$6*ccs!B26*8760</f>
        <v>1089584.4576362655</v>
      </c>
      <c r="P8">
        <f ca="1">OFFSET(nuclear!$C$8,(ROW(P7)-1)*5,0)*1000</f>
        <v>2297494.478094914</v>
      </c>
      <c r="Q8">
        <f t="shared" si="0"/>
        <v>918307.69230769225</v>
      </c>
      <c r="R8">
        <f t="shared" si="1"/>
        <v>2240153.8461538497</v>
      </c>
      <c r="S8">
        <f>SMR!T8</f>
        <v>425590.29902477557</v>
      </c>
      <c r="T8">
        <f>ccs!$J$6*ccs!B26*8760</f>
        <v>357991.32538523572</v>
      </c>
      <c r="U8">
        <f>SMR!V8</f>
        <v>2603313.369188224</v>
      </c>
      <c r="V8">
        <f>ccs!$J$6*ccs!B26</f>
        <v>40.866589655848827</v>
      </c>
      <c r="W8">
        <f ca="1">OFFSET(Electrolyzer!$D$2,(ROW(W7)-1)*5,0)*1000</f>
        <v>385000.00000000006</v>
      </c>
      <c r="X8">
        <f>'Fuel cell'!D8*1000</f>
        <v>1086623.9999999998</v>
      </c>
      <c r="Y8">
        <f ca="1">OFFSET('H2 turbine'!$B$12,(ROW(Z7)-1)*5,0)*1000</f>
        <v>305111.11111111112</v>
      </c>
      <c r="Z8">
        <f>'hydrogen storage'!B17</f>
        <v>41880.299999999996</v>
      </c>
      <c r="AA8">
        <f>'hydrogen storage'!F15</f>
        <v>2161.9289999999996</v>
      </c>
      <c r="AB8">
        <f t="shared" si="4"/>
        <v>2.3200144000000003</v>
      </c>
      <c r="AC8">
        <f t="shared" si="2"/>
        <v>4.6400288000000005</v>
      </c>
      <c r="AD8">
        <f t="shared" si="3"/>
        <v>3.8226144000000009</v>
      </c>
      <c r="AE8">
        <f>DAC!B25*8760</f>
        <v>2037419.9999999998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workbookViewId="0">
      <selection activeCell="F14" sqref="F14"/>
    </sheetView>
  </sheetViews>
  <sheetFormatPr defaultRowHeight="15" x14ac:dyDescent="0.25"/>
  <sheetData>
    <row r="1" spans="1:31" x14ac:dyDescent="0.25">
      <c r="A1" t="s">
        <v>1</v>
      </c>
      <c r="B1" t="s">
        <v>2</v>
      </c>
      <c r="C1" t="s">
        <v>33</v>
      </c>
      <c r="D1" t="s">
        <v>3</v>
      </c>
      <c r="E1" t="s">
        <v>4</v>
      </c>
      <c r="F1" t="s">
        <v>41</v>
      </c>
      <c r="G1" t="s">
        <v>115</v>
      </c>
      <c r="H1" t="s">
        <v>42</v>
      </c>
      <c r="I1" t="s">
        <v>114</v>
      </c>
      <c r="J1" t="s">
        <v>0</v>
      </c>
      <c r="K1" t="s">
        <v>5</v>
      </c>
      <c r="L1" t="s">
        <v>43</v>
      </c>
      <c r="M1" t="s">
        <v>85</v>
      </c>
      <c r="N1" t="s">
        <v>44</v>
      </c>
      <c r="O1" t="s">
        <v>86</v>
      </c>
      <c r="P1" t="s">
        <v>45</v>
      </c>
      <c r="Q1" t="s">
        <v>31</v>
      </c>
      <c r="R1" t="s">
        <v>32</v>
      </c>
      <c r="S1" t="s">
        <v>73</v>
      </c>
      <c r="T1" t="s">
        <v>87</v>
      </c>
      <c r="U1" t="s">
        <v>74</v>
      </c>
      <c r="V1" t="s">
        <v>88</v>
      </c>
      <c r="W1" t="s">
        <v>69</v>
      </c>
      <c r="X1" t="s">
        <v>53</v>
      </c>
      <c r="Y1" t="s">
        <v>46</v>
      </c>
      <c r="Z1" t="s">
        <v>52</v>
      </c>
      <c r="AA1" t="s">
        <v>68</v>
      </c>
      <c r="AB1" t="s">
        <v>82</v>
      </c>
      <c r="AC1" t="s">
        <v>83</v>
      </c>
      <c r="AD1" t="s">
        <v>84</v>
      </c>
      <c r="AE1" t="s">
        <v>124</v>
      </c>
    </row>
    <row r="2" spans="1:31" x14ac:dyDescent="0.25">
      <c r="A2">
        <v>2020</v>
      </c>
      <c r="B2">
        <f ca="1">OFFSET(battery!$F$15,(ROW(B1)-1)*5,0)*1000</f>
        <v>492307.69230769231</v>
      </c>
      <c r="C2">
        <f ca="1">OFFSET(battery!$C$15,(ROW(C1)-1)*5,0)*1000</f>
        <v>246153.84615384619</v>
      </c>
      <c r="D2">
        <f ca="1">OFFSET(Solar!$C$11,(ROW(D1)-1)*5,0)*1000</f>
        <v>628000</v>
      </c>
      <c r="E2">
        <f ca="1">OFFSET(Solar!$F$11,(ROW(Solar!E1)-1)*5,0)*1000</f>
        <v>746000</v>
      </c>
      <c r="F2">
        <f ca="1">OFFSET(gas!$C$18,(ROW(gas!C1)-1)*5,0)*1000</f>
        <v>367230.76923076925</v>
      </c>
      <c r="G2">
        <f>ccs!$H$6*ccs!B20</f>
        <v>337.64224528818715</v>
      </c>
      <c r="H2">
        <f ca="1">OFFSET(gas!$F$18,(ROW(gas!E1)-1)*5,0)*1000</f>
        <v>408913.25630284339</v>
      </c>
      <c r="I2">
        <f>ccs!$H$6*ccs!B20</f>
        <v>337.64224528818715</v>
      </c>
      <c r="J2">
        <f ca="1">OFFSET(land!$C$12,(ROW(J1)-1)*5,0)*1000</f>
        <v>1157000</v>
      </c>
      <c r="K2">
        <f ca="1">OFFSET(offshore!$K$13,(ROW(K1)-1)*5,0)*1000</f>
        <v>2857000</v>
      </c>
      <c r="L2">
        <f ca="1">OFFSET(coal!$C$20,(ROW(L1)-1)*5,0)*1000</f>
        <v>622461.5384615385</v>
      </c>
      <c r="M2">
        <f>ccs!$C$6*ccs!B20</f>
        <v>352.3399352531207</v>
      </c>
      <c r="N2">
        <f ca="1">OFFSET(coal!$F$20,(ROW(N1)-1)*5,0)*1000</f>
        <v>1089999.5099240381</v>
      </c>
      <c r="O2">
        <f>ccs!$F$6*ccs!B20</f>
        <v>267.4208429130104</v>
      </c>
      <c r="P2">
        <f ca="1">OFFSET(nuclear!$B$8,(ROW(P1)-1)*5,0)*1000</f>
        <v>2461538.4615384615</v>
      </c>
      <c r="Q2">
        <f>5969/6.5*1000</f>
        <v>918307.69230769225</v>
      </c>
      <c r="R2">
        <f>2240.15384615385*1000</f>
        <v>2240153.8461538497</v>
      </c>
      <c r="S2">
        <f>SMR!T2</f>
        <v>546556.72319999989</v>
      </c>
      <c r="T2">
        <f>ccs!$J$6*ccs!B20</f>
        <v>87.863167760074973</v>
      </c>
      <c r="U2">
        <f>SMR!V2</f>
        <v>3272268.8</v>
      </c>
      <c r="V2">
        <f>ccs!$J$6*ccs!B20</f>
        <v>87.863167760074973</v>
      </c>
      <c r="W2">
        <f ca="1">OFFSET(Electrolyzer!$C$2,(ROW(W1)-1)*5,0)*1000</f>
        <v>1245090</v>
      </c>
      <c r="X2">
        <f>'Fuel cell'!C2*1000</f>
        <v>1562022.0000000002</v>
      </c>
      <c r="Y2">
        <f ca="1">OFFSET('H2 turbine'!$B$12,(ROW(Z1)-1)*5,0)*1000</f>
        <v>314777.77777777775</v>
      </c>
      <c r="Z2">
        <f>'hydrogen storage'!B9</f>
        <v>69045.899999999994</v>
      </c>
      <c r="AA2">
        <f>'hydrogen storage'!D9</f>
        <v>3610.7609999999995</v>
      </c>
      <c r="AB2">
        <f>2.36*1.1*1.0928</f>
        <v>2.8369088000000002</v>
      </c>
      <c r="AC2">
        <f>AB2*2</f>
        <v>5.6738176000000005</v>
      </c>
      <c r="AD2">
        <f>3.89*1.1*1.0928</f>
        <v>4.676091200000001</v>
      </c>
      <c r="AE2">
        <f>DAC!B19</f>
        <v>839.8801369863013</v>
      </c>
    </row>
    <row r="3" spans="1:31" x14ac:dyDescent="0.25">
      <c r="A3">
        <v>2025</v>
      </c>
      <c r="B3">
        <f ca="1">OFFSET(battery!$F$15,(ROW(B2)-1)*5,0)*1000</f>
        <v>474606.98277086945</v>
      </c>
      <c r="C3">
        <f ca="1">OFFSET(battery!$C$15,(ROW(C2)-1)*5,0)*1000</f>
        <v>219340.5647717136</v>
      </c>
      <c r="D3">
        <v>628000</v>
      </c>
      <c r="E3">
        <v>746000</v>
      </c>
      <c r="F3">
        <f ca="1">OFFSET(gas!$C$18,(ROW(gas!C2)-1)*5,0)*1000</f>
        <v>358513.34223327041</v>
      </c>
      <c r="G3">
        <f>ccs!$H$6*ccs!B21</f>
        <v>235.56435717780499</v>
      </c>
      <c r="H3">
        <f ca="1">OFFSET(gas!$F$18,(ROW(gas!E2)-1)*5,0)*1000</f>
        <v>398327.80923445197</v>
      </c>
      <c r="I3">
        <f>ccs!$H$6*ccs!B21</f>
        <v>235.56435717780499</v>
      </c>
      <c r="J3">
        <f ca="1">OFFSET(land!$C$12,(ROW(J2)-1)*5,0)*1000</f>
        <v>1076640.9880166219</v>
      </c>
      <c r="K3">
        <f ca="1">OFFSET(offshore!$K$13,(ROW(K2)-1)*5,0)*1000</f>
        <v>2492043.9563389542</v>
      </c>
      <c r="L3">
        <f ca="1">OFFSET(coal!$C$20,(ROW(L2)-1)*5,0)*1000</f>
        <v>612285.82738016697</v>
      </c>
      <c r="M3">
        <f>ccs!$C$6*ccs!B21</f>
        <v>245.81855947892143</v>
      </c>
      <c r="N3">
        <f ca="1">OFFSET(coal!$F$20,(ROW(N2)-1)*5,0)*1000</f>
        <v>1083549.8086818843</v>
      </c>
      <c r="O3">
        <f>ccs!$F$6*ccs!B21</f>
        <v>186.57268110210029</v>
      </c>
      <c r="P3">
        <f ca="1">OFFSET(nuclear!$B$8,(ROW(P2)-1)*5,0)*1000</f>
        <v>2113664.33502365</v>
      </c>
      <c r="Q3">
        <f t="shared" ref="Q3:Q8" si="0">5969/6.5*1000</f>
        <v>918307.69230769225</v>
      </c>
      <c r="R3">
        <f t="shared" ref="R3:R8" si="1">2240.15384615385*1000</f>
        <v>2240153.8461538497</v>
      </c>
      <c r="S3">
        <f>SMR!T3</f>
        <v>533582.40641149005</v>
      </c>
      <c r="T3">
        <f>ccs!$J$6*ccs!B21</f>
        <v>61.299884483773241</v>
      </c>
      <c r="U3">
        <f>SMR!V3</f>
        <v>3218775.2749676201</v>
      </c>
      <c r="V3">
        <f>ccs!$J$6*ccs!B21</f>
        <v>61.299884483773241</v>
      </c>
      <c r="W3">
        <v>1245090</v>
      </c>
      <c r="X3">
        <v>1562022.0000000002</v>
      </c>
      <c r="Y3">
        <f ca="1">OFFSET('H2 turbine'!$B$12,(ROW(Z2)-1)*5,0)*1000</f>
        <v>313166.66666666669</v>
      </c>
      <c r="Z3">
        <v>69045.899999999994</v>
      </c>
      <c r="AA3">
        <f>'hydrogen storage'!D10</f>
        <v>3010.8539999999994</v>
      </c>
      <c r="AB3">
        <f>2.25*1.1*1.0928</f>
        <v>2.7046800000000002</v>
      </c>
      <c r="AC3">
        <f t="shared" ref="AC3:AC8" si="2">AB3*2</f>
        <v>5.4093600000000004</v>
      </c>
      <c r="AD3">
        <f>3.7*1.1*1.0928</f>
        <v>4.4476960000000005</v>
      </c>
      <c r="AE3">
        <f>DAC!B20</f>
        <v>620.21917808219177</v>
      </c>
    </row>
    <row r="4" spans="1:31" x14ac:dyDescent="0.25">
      <c r="A4">
        <v>2030</v>
      </c>
      <c r="B4">
        <f ca="1">OFFSET(battery!$F$15,(ROW(B3)-1)*5,0)*1000</f>
        <v>483790.42077117879</v>
      </c>
      <c r="C4">
        <f ca="1">OFFSET(battery!$C$15,(ROW(C3)-1)*5,0)*1000</f>
        <v>173879.94718483053</v>
      </c>
      <c r="D4">
        <v>628000</v>
      </c>
      <c r="E4">
        <v>746000</v>
      </c>
      <c r="F4">
        <f ca="1">OFFSET(gas!$C$18,(ROW(gas!C3)-1)*5,0)*1000</f>
        <v>344008.71580045728</v>
      </c>
      <c r="G4">
        <f>ccs!$H$6*ccs!B22</f>
        <v>196.30363098150417</v>
      </c>
      <c r="H4">
        <f ca="1">OFFSET(gas!$F$18,(ROW(gas!E3)-1)*5,0)*1000</f>
        <v>380673.18817229051</v>
      </c>
      <c r="I4">
        <f>ccs!$H$6*ccs!B22</f>
        <v>196.30363098150417</v>
      </c>
      <c r="J4">
        <f ca="1">OFFSET(land!$C$12,(ROW(J3)-1)*5,0)*1000</f>
        <v>976192.22303741041</v>
      </c>
      <c r="K4">
        <f ca="1">OFFSET(offshore!$K$13,(ROW(K3)-1)*5,0)*1000</f>
        <v>2290687.2747561219</v>
      </c>
      <c r="L4">
        <f ca="1">OFFSET(coal!$C$20,(ROW(L3)-1)*5,0)*1000</f>
        <v>595355.36161951255</v>
      </c>
      <c r="M4">
        <f>ccs!$C$6*ccs!B22</f>
        <v>204.84879956576785</v>
      </c>
      <c r="N4">
        <f ca="1">OFFSET(coal!$F$20,(ROW(N3)-1)*5,0)*1000</f>
        <v>1072807.5697887018</v>
      </c>
      <c r="O4">
        <f>ccs!$F$6*ccs!B22</f>
        <v>155.47723425175025</v>
      </c>
      <c r="P4">
        <f ca="1">OFFSET(nuclear!$B$8,(ROW(P3)-1)*5,0)*1000</f>
        <v>2015507.9702320395</v>
      </c>
      <c r="Q4">
        <f t="shared" si="0"/>
        <v>918307.69230769225</v>
      </c>
      <c r="R4">
        <f t="shared" si="1"/>
        <v>2240153.8461538497</v>
      </c>
      <c r="S4">
        <f>SMR!T4</f>
        <v>511994.88772136444</v>
      </c>
      <c r="T4">
        <f>ccs!$J$6*ccs!B22</f>
        <v>51.083237069811034</v>
      </c>
      <c r="U4">
        <f>SMR!V4</f>
        <v>3129772.1294640666</v>
      </c>
      <c r="V4">
        <f>ccs!$J$6*ccs!B22</f>
        <v>51.083237069811034</v>
      </c>
      <c r="W4">
        <v>1245090</v>
      </c>
      <c r="X4">
        <v>1562022.0000000002</v>
      </c>
      <c r="Y4">
        <f ca="1">OFFSET('H2 turbine'!$B$12,(ROW(Z3)-1)*5,0)*1000</f>
        <v>311555.55555555556</v>
      </c>
      <c r="Z4">
        <v>69045.899999999994</v>
      </c>
      <c r="AA4">
        <f>'hydrogen storage'!D11</f>
        <v>2410.9469999999997</v>
      </c>
      <c r="AB4">
        <f>2.14*1.1*1.0928</f>
        <v>2.5724512000000006</v>
      </c>
      <c r="AC4">
        <f t="shared" si="2"/>
        <v>5.1449024000000012</v>
      </c>
      <c r="AD4">
        <f>3.52*1.1*1.0928</f>
        <v>4.2313216000000002</v>
      </c>
      <c r="AE4">
        <f>DAC!B21</f>
        <v>387.6369863013698</v>
      </c>
    </row>
    <row r="5" spans="1:31" x14ac:dyDescent="0.25">
      <c r="A5">
        <v>2035</v>
      </c>
      <c r="B5">
        <f ca="1">OFFSET(battery!$F$15,(ROW(B4)-1)*5,0)*1000</f>
        <v>467109.57439716003</v>
      </c>
      <c r="C5">
        <f ca="1">OFFSET(battery!$C$15,(ROW(C4)-1)*5,0)*1000</f>
        <v>158078.00013369246</v>
      </c>
      <c r="D5">
        <v>628000</v>
      </c>
      <c r="E5">
        <v>746000</v>
      </c>
      <c r="F5">
        <f ca="1">OFFSET(gas!$C$18,(ROW(gas!C4)-1)*5,0)*1000</f>
        <v>329504.08936764416</v>
      </c>
      <c r="G5">
        <f>ccs!$H$6*ccs!B23</f>
        <v>180.59934050298384</v>
      </c>
      <c r="H5">
        <f ca="1">OFFSET(gas!$F$18,(ROW(gas!E4)-1)*5,0)*1000</f>
        <v>363018.56711012905</v>
      </c>
      <c r="I5">
        <f>ccs!$H$6*ccs!B23</f>
        <v>180.59934050298384</v>
      </c>
      <c r="J5">
        <f ca="1">OFFSET(land!$C$12,(ROW(J4)-1)*5,0)*1000</f>
        <v>928132.1851528117</v>
      </c>
      <c r="K5">
        <f ca="1">OFFSET(offshore!$K$13,(ROW(K4)-1)*5,0)*1000</f>
        <v>2166215.1199255665</v>
      </c>
      <c r="L5">
        <f ca="1">OFFSET(coal!$C$20,(ROW(L4)-1)*5,0)*1000</f>
        <v>578403.10632763465</v>
      </c>
      <c r="M5">
        <f>ccs!$C$6*ccs!B23</f>
        <v>188.46089560050643</v>
      </c>
      <c r="N5">
        <f ca="1">OFFSET(coal!$F$20,(ROW(N4)-1)*5,0)*1000</f>
        <v>1062087.1204267431</v>
      </c>
      <c r="O5">
        <f>ccs!$F$6*ccs!B23</f>
        <v>143.03905551161023</v>
      </c>
      <c r="P5">
        <f ca="1">OFFSET(nuclear!$B$8,(ROW(P4)-1)*5,0)*1000</f>
        <v>1948571.2220878473</v>
      </c>
      <c r="Q5">
        <f t="shared" si="0"/>
        <v>918307.69230769225</v>
      </c>
      <c r="R5">
        <f t="shared" si="1"/>
        <v>2240153.8461538497</v>
      </c>
      <c r="S5">
        <f>SMR!T5</f>
        <v>490407.36903123878</v>
      </c>
      <c r="T5">
        <f>ccs!$J$6*ccs!B23</f>
        <v>46.996578104226153</v>
      </c>
      <c r="U5">
        <f>SMR!V5</f>
        <v>3040654.4367977036</v>
      </c>
      <c r="V5">
        <f>ccs!$J$6*ccs!B23</f>
        <v>46.996578104226153</v>
      </c>
      <c r="W5">
        <v>1245090</v>
      </c>
      <c r="X5">
        <v>1562022.0000000002</v>
      </c>
      <c r="Y5">
        <f ca="1">OFFSET('H2 turbine'!$B$12,(ROW(Z4)-1)*5,0)*1000</f>
        <v>309944.44444444444</v>
      </c>
      <c r="Z5">
        <v>69045.899999999994</v>
      </c>
      <c r="AA5">
        <f>'hydrogen storage'!D12</f>
        <v>2110.9934999999996</v>
      </c>
      <c r="AB5">
        <f>(AB4+AB6)/2</f>
        <v>2.4462328000000007</v>
      </c>
      <c r="AC5">
        <f t="shared" si="2"/>
        <v>4.8924656000000013</v>
      </c>
      <c r="AD5">
        <f>(AD4+AD6)/2</f>
        <v>4.0269680000000001</v>
      </c>
      <c r="AE5">
        <f>DAC!B22</f>
        <v>329.49143835616439</v>
      </c>
    </row>
    <row r="6" spans="1:31" x14ac:dyDescent="0.25">
      <c r="A6">
        <v>2040</v>
      </c>
      <c r="B6">
        <f ca="1">OFFSET(battery!$F$15,(ROW(B5)-1)*5,0)*1000</f>
        <v>449709.83080580318</v>
      </c>
      <c r="C6">
        <f ca="1">OFFSET(battery!$C$15,(ROW(C5)-1)*5,0)*1000</f>
        <v>142362.73941461253</v>
      </c>
      <c r="D6">
        <v>628000</v>
      </c>
      <c r="E6">
        <v>746000</v>
      </c>
      <c r="F6">
        <f ca="1">OFFSET(gas!$C$18,(ROW(gas!C5)-1)*5,0)*1000</f>
        <v>314962.83509030374</v>
      </c>
      <c r="G6">
        <f>ccs!$H$6*ccs!B24</f>
        <v>164.8950500244635</v>
      </c>
      <c r="H6">
        <f ca="1">OFFSET(gas!$F$18,(ROW(gas!E5)-1)*5,0)*1000</f>
        <v>348074.4065429882</v>
      </c>
      <c r="I6">
        <f>ccs!$H$6*ccs!B24</f>
        <v>164.8950500244635</v>
      </c>
      <c r="J6">
        <f ca="1">OFFSET(land!$C$12,(ROW(J5)-1)*5,0)*1000</f>
        <v>880072.14726822276</v>
      </c>
      <c r="K6">
        <f ca="1">OFFSET(offshore!$K$13,(ROW(K5)-1)*5,0)*1000</f>
        <v>2075879.4719771212</v>
      </c>
      <c r="L6">
        <f ca="1">OFFSET(coal!$C$20,(ROW(L5)-1)*5,0)*1000</f>
        <v>550665.03308012744</v>
      </c>
      <c r="M6">
        <f>ccs!$C$6*ccs!B24</f>
        <v>172.07299163524502</v>
      </c>
      <c r="N6">
        <f ca="1">OFFSET(coal!$F$20,(ROW(N5)-1)*5,0)*1000</f>
        <v>1051344.8815335608</v>
      </c>
      <c r="O6">
        <f>ccs!$F$6*ccs!B24</f>
        <v>130.60087677147021</v>
      </c>
      <c r="P6">
        <f ca="1">OFFSET(nuclear!$B$8,(ROW(P5)-1)*5,0)*1000</f>
        <v>1879782.7212859497</v>
      </c>
      <c r="Q6">
        <f t="shared" si="0"/>
        <v>918307.69230769225</v>
      </c>
      <c r="R6">
        <f t="shared" si="1"/>
        <v>2240153.8461538497</v>
      </c>
      <c r="S6">
        <f>SMR!T6</f>
        <v>468765.3364050269</v>
      </c>
      <c r="T6">
        <f>ccs!$J$6*ccs!B24</f>
        <v>42.909919138641271</v>
      </c>
      <c r="U6">
        <f>SMR!V6</f>
        <v>2894835.8985402733</v>
      </c>
      <c r="V6">
        <f>ccs!$J$6*ccs!B24</f>
        <v>42.909919138641271</v>
      </c>
      <c r="W6">
        <v>1245090</v>
      </c>
      <c r="X6">
        <v>1562022.0000000002</v>
      </c>
      <c r="Y6">
        <f ca="1">OFFSET('H2 turbine'!$B$12,(ROW(Z5)-1)*5,0)*1000</f>
        <v>308333.33333333331</v>
      </c>
      <c r="Z6">
        <v>69045.899999999994</v>
      </c>
      <c r="AA6">
        <f>'hydrogen storage'!D13</f>
        <v>1811.04</v>
      </c>
      <c r="AB6">
        <f>1.93*1.1*1.0928</f>
        <v>2.3200144000000003</v>
      </c>
      <c r="AC6">
        <f t="shared" si="2"/>
        <v>4.6400288000000005</v>
      </c>
      <c r="AD6">
        <f t="shared" ref="AD6:AD8" si="3">3.18*1.1*1.0928</f>
        <v>3.8226144000000009</v>
      </c>
      <c r="AE6">
        <f>DAC!B23</f>
        <v>271.34589041095893</v>
      </c>
    </row>
    <row r="7" spans="1:31" x14ac:dyDescent="0.25">
      <c r="A7">
        <v>2045</v>
      </c>
      <c r="B7">
        <f ca="1">OFFSET(battery!$F$15,(ROW(B6)-1)*5,0)*1000</f>
        <v>431425.30164641637</v>
      </c>
      <c r="C7">
        <f ca="1">OFFSET(battery!$C$15,(ROW(C6)-1)*5,0)*1000</f>
        <v>126754.16823848918</v>
      </c>
      <c r="D7">
        <v>628000</v>
      </c>
      <c r="E7">
        <v>746000</v>
      </c>
      <c r="F7">
        <f ca="1">OFFSET(gas!$C$18,(ROW(gas!C6)-1)*5,0)*1000</f>
        <v>300458.2086574905</v>
      </c>
      <c r="G7">
        <f>ccs!$H$6*ccs!B25</f>
        <v>160.96897740483342</v>
      </c>
      <c r="H7">
        <f ca="1">OFFSET(gas!$F$18,(ROW(gas!E6)-1)*5,0)*1000</f>
        <v>333130.24597584741</v>
      </c>
      <c r="I7">
        <f>ccs!$H$6*ccs!B25</f>
        <v>160.96897740483342</v>
      </c>
      <c r="J7">
        <f ca="1">OFFSET(land!$C$12,(ROW(J6)-1)*5,0)*1000</f>
        <v>832012.10938362509</v>
      </c>
      <c r="K7">
        <f ca="1">OFFSET(offshore!$K$13,(ROW(K6)-1)*5,0)*1000</f>
        <v>2004930.7310270788</v>
      </c>
      <c r="L7">
        <f ca="1">OFFSET(coal!$C$20,(ROW(L6)-1)*5,0)*1000</f>
        <v>522948.7493638437</v>
      </c>
      <c r="M7">
        <f>ccs!$C$6*ccs!B25</f>
        <v>167.97601564392963</v>
      </c>
      <c r="N7">
        <f ca="1">OFFSET(coal!$F$20,(ROW(N6)-1)*5,0)*1000</f>
        <v>1040624.4321716022</v>
      </c>
      <c r="O7">
        <f>ccs!$F$6*ccs!B25</f>
        <v>127.49133208643519</v>
      </c>
      <c r="P7">
        <f ca="1">OFFSET(nuclear!$B$8,(ROW(P6)-1)*5,0)*1000</f>
        <v>1815208.0930648863</v>
      </c>
      <c r="Q7">
        <f t="shared" si="0"/>
        <v>918307.69230769225</v>
      </c>
      <c r="R7">
        <f t="shared" si="1"/>
        <v>2240153.8461538497</v>
      </c>
      <c r="S7">
        <f>SMR!T7</f>
        <v>447177.81771490118</v>
      </c>
      <c r="T7">
        <f>ccs!$J$6*ccs!B25</f>
        <v>41.888254397245049</v>
      </c>
      <c r="U7">
        <f>SMR!V7</f>
        <v>2749131.9074456538</v>
      </c>
      <c r="V7">
        <f>ccs!$J$6*ccs!B25</f>
        <v>41.888254397245049</v>
      </c>
      <c r="W7">
        <v>1245090</v>
      </c>
      <c r="X7">
        <v>1562022.0000000002</v>
      </c>
      <c r="Y7">
        <f ca="1">OFFSET('H2 turbine'!$B$12,(ROW(Z6)-1)*5,0)*1000</f>
        <v>306722.22222222225</v>
      </c>
      <c r="Z7">
        <v>69045.899999999994</v>
      </c>
      <c r="AA7">
        <f>'hydrogen storage'!D14</f>
        <v>1629.9359999999999</v>
      </c>
      <c r="AB7">
        <f t="shared" ref="AB7:AB8" si="4">1.93*1.1*1.0928</f>
        <v>2.3200144000000003</v>
      </c>
      <c r="AC7">
        <f t="shared" si="2"/>
        <v>4.6400288000000005</v>
      </c>
      <c r="AD7">
        <f t="shared" si="3"/>
        <v>3.8226144000000009</v>
      </c>
      <c r="AE7">
        <f>DAC!B24</f>
        <v>251.96404109589042</v>
      </c>
    </row>
    <row r="8" spans="1:31" x14ac:dyDescent="0.25">
      <c r="A8">
        <v>2050</v>
      </c>
      <c r="B8">
        <f ca="1">OFFSET(battery!$F$15,(ROW(B7)-1)*5,0)*1000</f>
        <v>412034.80642593093</v>
      </c>
      <c r="C8">
        <f ca="1">OFFSET(battery!$C$15,(ROW(C7)-1)*5,0)*1000</f>
        <v>111278.95707392975</v>
      </c>
      <c r="D8">
        <v>628000</v>
      </c>
      <c r="E8">
        <v>746000</v>
      </c>
      <c r="F8">
        <f ca="1">OFFSET(gas!$C$18,(ROW(gas!C7)-1)*5,0)*1000</f>
        <v>285953.58222467743</v>
      </c>
      <c r="G8">
        <f>ccs!$H$6*ccs!B26</f>
        <v>157.04290478520332</v>
      </c>
      <c r="H8">
        <f ca="1">OFFSET(gas!$F$18,(ROW(gas!E7)-1)*5,0)*1000</f>
        <v>318222.71325323387</v>
      </c>
      <c r="I8">
        <f>ccs!$H$6*ccs!B26</f>
        <v>157.04290478520332</v>
      </c>
      <c r="J8">
        <f ca="1">OFFSET(land!$C$12,(ROW(J7)-1)*5,0)*1000</f>
        <v>783952.07149902824</v>
      </c>
      <c r="K8">
        <f ca="1">OFFSET(offshore!$K$13,(ROW(K7)-1)*5,0)*1000</f>
        <v>1946500.3253128789</v>
      </c>
      <c r="L8">
        <f ca="1">OFFSET(coal!$C$20,(ROW(L7)-1)*5,0)*1000</f>
        <v>495210.67611633649</v>
      </c>
      <c r="M8">
        <f>ccs!$C$6*ccs!B26</f>
        <v>163.87903965261427</v>
      </c>
      <c r="N8">
        <f ca="1">OFFSET(coal!$F$20,(ROW(N7)-1)*5,0)*1000</f>
        <v>1029882.1932784199</v>
      </c>
      <c r="O8">
        <f>ccs!$F$6*ccs!B26</f>
        <v>124.38178740140019</v>
      </c>
      <c r="P8">
        <f ca="1">OFFSET(nuclear!$B$8,(ROW(P7)-1)*5,0)*1000</f>
        <v>1738729.5618643423</v>
      </c>
      <c r="Q8">
        <f t="shared" si="0"/>
        <v>918307.69230769225</v>
      </c>
      <c r="R8">
        <f t="shared" si="1"/>
        <v>2240153.8461538497</v>
      </c>
      <c r="S8">
        <f>SMR!T8</f>
        <v>425590.29902477557</v>
      </c>
      <c r="T8">
        <f>ccs!$J$6*ccs!B26</f>
        <v>40.866589655848827</v>
      </c>
      <c r="U8">
        <f>SMR!V8</f>
        <v>2603313.369188224</v>
      </c>
      <c r="V8">
        <f>ccs!$J$6*ccs!B26</f>
        <v>40.866589655848827</v>
      </c>
      <c r="W8">
        <v>1245090</v>
      </c>
      <c r="X8">
        <v>1562022.0000000002</v>
      </c>
      <c r="Y8">
        <f ca="1">OFFSET('H2 turbine'!$B$12,(ROW(Z7)-1)*5,0)*1000</f>
        <v>305111.11111111112</v>
      </c>
      <c r="Z8">
        <v>69045.899999999994</v>
      </c>
      <c r="AA8">
        <f>'hydrogen storage'!D15</f>
        <v>1448.8319999999999</v>
      </c>
      <c r="AB8">
        <f t="shared" si="4"/>
        <v>2.3200144000000003</v>
      </c>
      <c r="AC8">
        <f t="shared" si="2"/>
        <v>4.6400288000000005</v>
      </c>
      <c r="AD8">
        <f t="shared" si="3"/>
        <v>3.8226144000000009</v>
      </c>
      <c r="AE8">
        <f>DAC!B25</f>
        <v>232.58219178082189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workbookViewId="0">
      <selection activeCell="K13" sqref="K13"/>
    </sheetView>
  </sheetViews>
  <sheetFormatPr defaultRowHeight="15" x14ac:dyDescent="0.25"/>
  <sheetData>
    <row r="1" spans="1:31" x14ac:dyDescent="0.25">
      <c r="A1" t="s">
        <v>1</v>
      </c>
      <c r="B1" t="s">
        <v>2</v>
      </c>
      <c r="C1" t="s">
        <v>33</v>
      </c>
      <c r="D1" t="s">
        <v>3</v>
      </c>
      <c r="E1" t="s">
        <v>4</v>
      </c>
      <c r="F1" t="s">
        <v>41</v>
      </c>
      <c r="G1" t="s">
        <v>115</v>
      </c>
      <c r="H1" t="s">
        <v>42</v>
      </c>
      <c r="I1" t="s">
        <v>114</v>
      </c>
      <c r="J1" t="s">
        <v>0</v>
      </c>
      <c r="K1" t="s">
        <v>5</v>
      </c>
      <c r="L1" t="s">
        <v>43</v>
      </c>
      <c r="M1" t="s">
        <v>85</v>
      </c>
      <c r="N1" t="s">
        <v>44</v>
      </c>
      <c r="O1" t="s">
        <v>86</v>
      </c>
      <c r="P1" t="s">
        <v>45</v>
      </c>
      <c r="Q1" t="s">
        <v>31</v>
      </c>
      <c r="R1" t="s">
        <v>32</v>
      </c>
      <c r="S1" t="s">
        <v>73</v>
      </c>
      <c r="T1" t="s">
        <v>87</v>
      </c>
      <c r="U1" t="s">
        <v>74</v>
      </c>
      <c r="V1" t="s">
        <v>88</v>
      </c>
      <c r="W1" t="s">
        <v>69</v>
      </c>
      <c r="X1" t="s">
        <v>53</v>
      </c>
      <c r="Y1" t="s">
        <v>46</v>
      </c>
      <c r="Z1" t="s">
        <v>52</v>
      </c>
      <c r="AA1" t="s">
        <v>68</v>
      </c>
      <c r="AB1" t="s">
        <v>82</v>
      </c>
      <c r="AC1" t="s">
        <v>83</v>
      </c>
      <c r="AD1" t="s">
        <v>84</v>
      </c>
      <c r="AE1" t="s">
        <v>124</v>
      </c>
    </row>
    <row r="2" spans="1:31" x14ac:dyDescent="0.25">
      <c r="A2">
        <v>2020</v>
      </c>
      <c r="B2">
        <f ca="1">OFFSET(battery!$F$15,(ROW(B1)-1)*5,0)*1000</f>
        <v>492307.69230769231</v>
      </c>
      <c r="C2">
        <f ca="1">OFFSET(battery!$C$15,(ROW(C1)-1)*5,0)*1000</f>
        <v>246153.84615384619</v>
      </c>
      <c r="D2">
        <f ca="1">OFFSET(Solar!$C$11,(ROW(D1)-1)*5,0)*1000</f>
        <v>628000</v>
      </c>
      <c r="E2">
        <f ca="1">OFFSET(Solar!$F$11,(ROW(Solar!E1)-1)*5,0)*1000</f>
        <v>746000</v>
      </c>
      <c r="F2">
        <f ca="1">OFFSET(gas!$C$18,(ROW(gas!C1)-1)*5,0)*1000</f>
        <v>367230.76923076925</v>
      </c>
      <c r="G2">
        <f>ccs!$H$6*ccs!B20</f>
        <v>337.64224528818715</v>
      </c>
      <c r="H2">
        <f ca="1">OFFSET(gas!$F$18,(ROW(gas!E1)-1)*5,0)*1000</f>
        <v>408913.25630284339</v>
      </c>
      <c r="I2">
        <f>ccs!$H$6*ccs!B20</f>
        <v>337.64224528818715</v>
      </c>
      <c r="J2">
        <f ca="1">OFFSET(land!$C$12,(ROW(J1)-1)*5,0)*1000</f>
        <v>1157000</v>
      </c>
      <c r="K2">
        <f ca="1">OFFSET(offshore!$K$13,(ROW(K1)-1)*5,0)*1000</f>
        <v>2857000</v>
      </c>
      <c r="L2">
        <f ca="1">OFFSET(coal!$C$20,(ROW(L1)-1)*5,0)*1000</f>
        <v>622461.5384615385</v>
      </c>
      <c r="M2">
        <f>ccs!$C$6*ccs!B20</f>
        <v>352.3399352531207</v>
      </c>
      <c r="N2">
        <f ca="1">OFFSET(coal!$F$20,(ROW(N1)-1)*5,0)*1000</f>
        <v>1089999.5099240381</v>
      </c>
      <c r="O2">
        <f>ccs!$F$6*ccs!B20</f>
        <v>267.4208429130104</v>
      </c>
      <c r="P2">
        <f ca="1">OFFSET(nuclear!$B$8,(ROW(P1)-1)*5,0)*1000</f>
        <v>2461538.4615384615</v>
      </c>
      <c r="Q2">
        <f>5969/6.5*1000</f>
        <v>918307.69230769225</v>
      </c>
      <c r="R2">
        <f>2240.15384615385*1000</f>
        <v>2240153.8461538497</v>
      </c>
      <c r="S2">
        <f>SMR!T2</f>
        <v>546556.72319999989</v>
      </c>
      <c r="T2">
        <f>ccs!$J$6*ccs!B20</f>
        <v>87.863167760074973</v>
      </c>
      <c r="U2">
        <f>SMR!V2</f>
        <v>3272268.8</v>
      </c>
      <c r="V2">
        <f>ccs!$J$6*ccs!B20</f>
        <v>87.863167760074973</v>
      </c>
      <c r="W2">
        <f ca="1">OFFSET(Electrolyzer!$C$2,(ROW(W1)-1)*5,0)*1000</f>
        <v>1245090</v>
      </c>
      <c r="X2">
        <f>'Fuel cell'!C2*1000</f>
        <v>1562022.0000000002</v>
      </c>
      <c r="Y2">
        <f ca="1">OFFSET('H2 turbine'!$B$12,(ROW(Z1)-1)*5,0)*1000</f>
        <v>314777.77777777775</v>
      </c>
      <c r="Z2">
        <f>'hydrogen storage'!B9</f>
        <v>69045.899999999994</v>
      </c>
      <c r="AA2">
        <f>'hydrogen storage'!D9</f>
        <v>3610.7609999999995</v>
      </c>
      <c r="AB2">
        <f>2.36*1.1*1.0928</f>
        <v>2.8369088000000002</v>
      </c>
      <c r="AC2">
        <f>AB2*2</f>
        <v>5.6738176000000005</v>
      </c>
      <c r="AD2">
        <f>3.89*1.1*1.0928</f>
        <v>4.676091200000001</v>
      </c>
      <c r="AE2">
        <f>DAC!B19</f>
        <v>839.8801369863013</v>
      </c>
    </row>
    <row r="3" spans="1:31" x14ac:dyDescent="0.25">
      <c r="A3">
        <v>2025</v>
      </c>
      <c r="B3">
        <f ca="1">OFFSET(battery!$F$15,(ROW(B2)-1)*5,0)*1000</f>
        <v>474606.98277086945</v>
      </c>
      <c r="C3">
        <f ca="1">OFFSET(battery!$C$15,(ROW(C2)-1)*5,0)*1000</f>
        <v>219340.5647717136</v>
      </c>
      <c r="D3">
        <f ca="1">OFFSET(Solar!$C$11,(ROW(D2)-1)*5,0)*1000</f>
        <v>607009.57568009151</v>
      </c>
      <c r="E3">
        <f ca="1">OFFSET(Solar!$F$11,(ROW(Solar!E2)-1)*5,0)*1000</f>
        <v>686543.82764240284</v>
      </c>
      <c r="F3">
        <f ca="1">OFFSET(gas!$C$18,(ROW(gas!C2)-1)*5,0)*1000</f>
        <v>358513.34223327041</v>
      </c>
      <c r="G3">
        <f>ccs!$H$6*ccs!B21</f>
        <v>235.56435717780499</v>
      </c>
      <c r="H3">
        <f ca="1">OFFSET(gas!$F$18,(ROW(gas!E2)-1)*5,0)*1000</f>
        <v>398327.80923445197</v>
      </c>
      <c r="I3">
        <f>ccs!$H$6*ccs!B21</f>
        <v>235.56435717780499</v>
      </c>
      <c r="J3">
        <v>1157000</v>
      </c>
      <c r="K3">
        <v>2857000</v>
      </c>
      <c r="L3">
        <f ca="1">OFFSET(coal!$C$20,(ROW(L2)-1)*5,0)*1000</f>
        <v>612285.82738016697</v>
      </c>
      <c r="M3">
        <f>ccs!$C$6*ccs!B21</f>
        <v>245.81855947892143</v>
      </c>
      <c r="N3">
        <f ca="1">OFFSET(coal!$F$20,(ROW(N2)-1)*5,0)*1000</f>
        <v>1083549.8086818843</v>
      </c>
      <c r="O3">
        <f>ccs!$F$6*ccs!B21</f>
        <v>186.57268110210029</v>
      </c>
      <c r="P3">
        <f ca="1">OFFSET(nuclear!$B$8,(ROW(P2)-1)*5,0)*1000</f>
        <v>2113664.33502365</v>
      </c>
      <c r="Q3">
        <f t="shared" ref="Q3:Q8" si="0">5969/6.5*1000</f>
        <v>918307.69230769225</v>
      </c>
      <c r="R3">
        <f t="shared" ref="R3:R8" si="1">2240.15384615385*1000</f>
        <v>2240153.8461538497</v>
      </c>
      <c r="S3">
        <f>SMR!T3</f>
        <v>533582.40641149005</v>
      </c>
      <c r="T3">
        <f>ccs!$J$6*ccs!B21</f>
        <v>61.299884483773241</v>
      </c>
      <c r="U3">
        <f>SMR!V3</f>
        <v>3218775.2749676201</v>
      </c>
      <c r="V3">
        <f>ccs!$J$6*ccs!B21</f>
        <v>61.299884483773241</v>
      </c>
      <c r="W3">
        <v>1245090</v>
      </c>
      <c r="X3">
        <v>1562022.0000000002</v>
      </c>
      <c r="Y3">
        <f ca="1">OFFSET('H2 turbine'!$B$12,(ROW(Z2)-1)*5,0)*1000</f>
        <v>313166.66666666669</v>
      </c>
      <c r="Z3">
        <v>69045.899999999994</v>
      </c>
      <c r="AA3">
        <f>'hydrogen storage'!D10</f>
        <v>3010.8539999999994</v>
      </c>
      <c r="AB3">
        <f>2.25*1.1*1.0928</f>
        <v>2.7046800000000002</v>
      </c>
      <c r="AC3">
        <f t="shared" ref="AC3:AC8" si="2">AB3*2</f>
        <v>5.4093600000000004</v>
      </c>
      <c r="AD3">
        <f>3.7*1.1*1.0928</f>
        <v>4.4476960000000005</v>
      </c>
      <c r="AE3">
        <f>DAC!B20</f>
        <v>620.21917808219177</v>
      </c>
    </row>
    <row r="4" spans="1:31" x14ac:dyDescent="0.25">
      <c r="A4">
        <v>2030</v>
      </c>
      <c r="B4">
        <f ca="1">OFFSET(battery!$F$15,(ROW(B3)-1)*5,0)*1000</f>
        <v>483790.42077117879</v>
      </c>
      <c r="C4">
        <f ca="1">OFFSET(battery!$C$15,(ROW(C3)-1)*5,0)*1000</f>
        <v>173879.94718483053</v>
      </c>
      <c r="D4">
        <f ca="1">OFFSET(Solar!$C$11,(ROW(D3)-1)*5,0)*1000</f>
        <v>505217.02450861299</v>
      </c>
      <c r="E4">
        <f ca="1">OFFSET(Solar!$F$11,(ROW(Solar!E3)-1)*5,0)*1000</f>
        <v>548996.59879898466</v>
      </c>
      <c r="F4">
        <f ca="1">OFFSET(gas!$C$18,(ROW(gas!C3)-1)*5,0)*1000</f>
        <v>344008.71580045728</v>
      </c>
      <c r="G4">
        <f>ccs!$H$6*ccs!B22</f>
        <v>196.30363098150417</v>
      </c>
      <c r="H4">
        <f ca="1">OFFSET(gas!$F$18,(ROW(gas!E3)-1)*5,0)*1000</f>
        <v>380673.18817229051</v>
      </c>
      <c r="I4">
        <f>ccs!$H$6*ccs!B22</f>
        <v>196.30363098150417</v>
      </c>
      <c r="J4">
        <v>1157000</v>
      </c>
      <c r="K4">
        <v>2857000</v>
      </c>
      <c r="L4">
        <f ca="1">OFFSET(coal!$C$20,(ROW(L3)-1)*5,0)*1000</f>
        <v>595355.36161951255</v>
      </c>
      <c r="M4">
        <f>ccs!$C$6*ccs!B22</f>
        <v>204.84879956576785</v>
      </c>
      <c r="N4">
        <f ca="1">OFFSET(coal!$F$20,(ROW(N3)-1)*5,0)*1000</f>
        <v>1072807.5697887018</v>
      </c>
      <c r="O4">
        <f>ccs!$F$6*ccs!B22</f>
        <v>155.47723425175025</v>
      </c>
      <c r="P4">
        <f ca="1">OFFSET(nuclear!$B$8,(ROW(P3)-1)*5,0)*1000</f>
        <v>2015507.9702320395</v>
      </c>
      <c r="Q4">
        <f t="shared" si="0"/>
        <v>918307.69230769225</v>
      </c>
      <c r="R4">
        <f t="shared" si="1"/>
        <v>2240153.8461538497</v>
      </c>
      <c r="S4">
        <f>SMR!T4</f>
        <v>511994.88772136444</v>
      </c>
      <c r="T4">
        <f>ccs!$J$6*ccs!B22</f>
        <v>51.083237069811034</v>
      </c>
      <c r="U4">
        <f>SMR!V4</f>
        <v>3129772.1294640666</v>
      </c>
      <c r="V4">
        <f>ccs!$J$6*ccs!B22</f>
        <v>51.083237069811034</v>
      </c>
      <c r="W4">
        <v>1245090</v>
      </c>
      <c r="X4">
        <v>1562022.0000000002</v>
      </c>
      <c r="Y4">
        <f ca="1">OFFSET('H2 turbine'!$B$12,(ROW(Z3)-1)*5,0)*1000</f>
        <v>311555.55555555556</v>
      </c>
      <c r="Z4">
        <v>69045.899999999994</v>
      </c>
      <c r="AA4">
        <f>'hydrogen storage'!D11</f>
        <v>2410.9469999999997</v>
      </c>
      <c r="AB4">
        <f>2.14*1.1*1.0928</f>
        <v>2.5724512000000006</v>
      </c>
      <c r="AC4">
        <f t="shared" si="2"/>
        <v>5.1449024000000012</v>
      </c>
      <c r="AD4">
        <f>3.52*1.1*1.0928</f>
        <v>4.2313216000000002</v>
      </c>
      <c r="AE4">
        <f>DAC!B21</f>
        <v>387.6369863013698</v>
      </c>
    </row>
    <row r="5" spans="1:31" x14ac:dyDescent="0.25">
      <c r="A5">
        <v>2035</v>
      </c>
      <c r="B5">
        <f ca="1">OFFSET(battery!$F$15,(ROW(B4)-1)*5,0)*1000</f>
        <v>467109.57439716003</v>
      </c>
      <c r="C5">
        <f ca="1">OFFSET(battery!$C$15,(ROW(C4)-1)*5,0)*1000</f>
        <v>158078.00013369246</v>
      </c>
      <c r="D5">
        <f ca="1">OFFSET(Solar!$C$11,(ROW(D4)-1)*5,0)*1000</f>
        <v>403424.47333713423</v>
      </c>
      <c r="E5">
        <f ca="1">OFFSET(Solar!$F$11,(ROW(Solar!E4)-1)*5,0)*1000</f>
        <v>411449.36995556689</v>
      </c>
      <c r="F5">
        <f ca="1">OFFSET(gas!$C$18,(ROW(gas!C4)-1)*5,0)*1000</f>
        <v>329504.08936764416</v>
      </c>
      <c r="G5">
        <f>ccs!$H$6*ccs!B23</f>
        <v>180.59934050298384</v>
      </c>
      <c r="H5">
        <f ca="1">OFFSET(gas!$F$18,(ROW(gas!E4)-1)*5,0)*1000</f>
        <v>363018.56711012905</v>
      </c>
      <c r="I5">
        <f>ccs!$H$6*ccs!B23</f>
        <v>180.59934050298384</v>
      </c>
      <c r="J5">
        <v>1157000</v>
      </c>
      <c r="K5">
        <v>2857000</v>
      </c>
      <c r="L5">
        <f ca="1">OFFSET(coal!$C$20,(ROW(L4)-1)*5,0)*1000</f>
        <v>578403.10632763465</v>
      </c>
      <c r="M5">
        <f>ccs!$C$6*ccs!B23</f>
        <v>188.46089560050643</v>
      </c>
      <c r="N5">
        <f ca="1">OFFSET(coal!$F$20,(ROW(N4)-1)*5,0)*1000</f>
        <v>1062087.1204267431</v>
      </c>
      <c r="O5">
        <f>ccs!$F$6*ccs!B23</f>
        <v>143.03905551161023</v>
      </c>
      <c r="P5">
        <f ca="1">OFFSET(nuclear!$B$8,(ROW(P4)-1)*5,0)*1000</f>
        <v>1948571.2220878473</v>
      </c>
      <c r="Q5">
        <f t="shared" si="0"/>
        <v>918307.69230769225</v>
      </c>
      <c r="R5">
        <f t="shared" si="1"/>
        <v>2240153.8461538497</v>
      </c>
      <c r="S5">
        <f>SMR!T5</f>
        <v>490407.36903123878</v>
      </c>
      <c r="T5">
        <f>ccs!$J$6*ccs!B23</f>
        <v>46.996578104226153</v>
      </c>
      <c r="U5">
        <f>SMR!V5</f>
        <v>3040654.4367977036</v>
      </c>
      <c r="V5">
        <f>ccs!$J$6*ccs!B23</f>
        <v>46.996578104226153</v>
      </c>
      <c r="W5">
        <v>1245090</v>
      </c>
      <c r="X5">
        <v>1562022.0000000002</v>
      </c>
      <c r="Y5">
        <f ca="1">OFFSET('H2 turbine'!$B$12,(ROW(Z4)-1)*5,0)*1000</f>
        <v>309944.44444444444</v>
      </c>
      <c r="Z5">
        <v>69045.899999999994</v>
      </c>
      <c r="AA5">
        <f>'hydrogen storage'!D12</f>
        <v>2110.9934999999996</v>
      </c>
      <c r="AB5">
        <f>(AB4+AB6)/2</f>
        <v>2.4462328000000007</v>
      </c>
      <c r="AC5">
        <f t="shared" si="2"/>
        <v>4.8924656000000013</v>
      </c>
      <c r="AD5">
        <f>(AD4+AD6)/2</f>
        <v>4.0269680000000001</v>
      </c>
      <c r="AE5">
        <f>DAC!B22</f>
        <v>329.49143835616439</v>
      </c>
    </row>
    <row r="6" spans="1:31" x14ac:dyDescent="0.25">
      <c r="A6">
        <v>2040</v>
      </c>
      <c r="B6">
        <f ca="1">OFFSET(battery!$F$15,(ROW(B5)-1)*5,0)*1000</f>
        <v>449709.83080580318</v>
      </c>
      <c r="C6">
        <f ca="1">OFFSET(battery!$C$15,(ROW(C5)-1)*5,0)*1000</f>
        <v>142362.73941461253</v>
      </c>
      <c r="D6">
        <f ca="1">OFFSET(Solar!$C$11,(ROW(D5)-1)*5,0)*1000</f>
        <v>371518.84230403125</v>
      </c>
      <c r="E6">
        <f ca="1">OFFSET(Solar!$F$11,(ROW(Solar!E5)-1)*5,0)*1000</f>
        <v>371597.40062988061</v>
      </c>
      <c r="F6">
        <f ca="1">OFFSET(gas!$C$18,(ROW(gas!C5)-1)*5,0)*1000</f>
        <v>314962.83509030374</v>
      </c>
      <c r="G6">
        <f>ccs!$H$6*ccs!B24</f>
        <v>164.8950500244635</v>
      </c>
      <c r="H6">
        <f ca="1">OFFSET(gas!$F$18,(ROW(gas!E5)-1)*5,0)*1000</f>
        <v>348074.4065429882</v>
      </c>
      <c r="I6">
        <f>ccs!$H$6*ccs!B24</f>
        <v>164.8950500244635</v>
      </c>
      <c r="J6">
        <v>1157000</v>
      </c>
      <c r="K6">
        <v>2857000</v>
      </c>
      <c r="L6">
        <f ca="1">OFFSET(coal!$C$20,(ROW(L5)-1)*5,0)*1000</f>
        <v>550665.03308012744</v>
      </c>
      <c r="M6">
        <f>ccs!$C$6*ccs!B24</f>
        <v>172.07299163524502</v>
      </c>
      <c r="N6">
        <f ca="1">OFFSET(coal!$F$20,(ROW(N5)-1)*5,0)*1000</f>
        <v>1051344.8815335608</v>
      </c>
      <c r="O6">
        <f>ccs!$F$6*ccs!B24</f>
        <v>130.60087677147021</v>
      </c>
      <c r="P6">
        <f ca="1">OFFSET(nuclear!$B$8,(ROW(P5)-1)*5,0)*1000</f>
        <v>1879782.7212859497</v>
      </c>
      <c r="Q6">
        <f t="shared" si="0"/>
        <v>918307.69230769225</v>
      </c>
      <c r="R6">
        <f t="shared" si="1"/>
        <v>2240153.8461538497</v>
      </c>
      <c r="S6">
        <f>SMR!T6</f>
        <v>468765.3364050269</v>
      </c>
      <c r="T6">
        <f>ccs!$J$6*ccs!B24</f>
        <v>42.909919138641271</v>
      </c>
      <c r="U6">
        <f>SMR!V6</f>
        <v>2894835.8985402733</v>
      </c>
      <c r="V6">
        <f>ccs!$J$6*ccs!B24</f>
        <v>42.909919138641271</v>
      </c>
      <c r="W6">
        <v>1245090</v>
      </c>
      <c r="X6">
        <v>1562022.0000000002</v>
      </c>
      <c r="Y6">
        <f ca="1">OFFSET('H2 turbine'!$B$12,(ROW(Z5)-1)*5,0)*1000</f>
        <v>308333.33333333331</v>
      </c>
      <c r="Z6">
        <v>69045.899999999994</v>
      </c>
      <c r="AA6">
        <f>'hydrogen storage'!D13</f>
        <v>1811.04</v>
      </c>
      <c r="AB6">
        <f>1.93*1.1*1.0928</f>
        <v>2.3200144000000003</v>
      </c>
      <c r="AC6">
        <f t="shared" si="2"/>
        <v>4.6400288000000005</v>
      </c>
      <c r="AD6">
        <f t="shared" ref="AD6:AD8" si="3">3.18*1.1*1.0928</f>
        <v>3.8226144000000009</v>
      </c>
      <c r="AE6">
        <f>DAC!B23</f>
        <v>271.34589041095893</v>
      </c>
    </row>
    <row r="7" spans="1:31" x14ac:dyDescent="0.25">
      <c r="A7">
        <v>2045</v>
      </c>
      <c r="B7">
        <f ca="1">OFFSET(battery!$F$15,(ROW(B6)-1)*5,0)*1000</f>
        <v>431425.30164641637</v>
      </c>
      <c r="C7">
        <f ca="1">OFFSET(battery!$C$15,(ROW(C6)-1)*5,0)*1000</f>
        <v>126754.16823848918</v>
      </c>
      <c r="D7">
        <f ca="1">OFFSET(Solar!$C$11,(ROW(D6)-1)*5,0)*1000</f>
        <v>339613.21127092832</v>
      </c>
      <c r="E7">
        <f ca="1">OFFSET(Solar!$F$11,(ROW(Solar!E6)-1)*5,0)*1000</f>
        <v>331745.43130419438</v>
      </c>
      <c r="F7">
        <f ca="1">OFFSET(gas!$C$18,(ROW(gas!C6)-1)*5,0)*1000</f>
        <v>300458.2086574905</v>
      </c>
      <c r="G7">
        <f>ccs!$H$6*ccs!B25</f>
        <v>160.96897740483342</v>
      </c>
      <c r="H7">
        <f ca="1">OFFSET(gas!$F$18,(ROW(gas!E6)-1)*5,0)*1000</f>
        <v>333130.24597584741</v>
      </c>
      <c r="I7">
        <f>ccs!$H$6*ccs!B25</f>
        <v>160.96897740483342</v>
      </c>
      <c r="J7">
        <v>1157000</v>
      </c>
      <c r="K7">
        <v>2857000</v>
      </c>
      <c r="L7">
        <f ca="1">OFFSET(coal!$C$20,(ROW(L6)-1)*5,0)*1000</f>
        <v>522948.7493638437</v>
      </c>
      <c r="M7">
        <f>ccs!$C$6*ccs!B25</f>
        <v>167.97601564392963</v>
      </c>
      <c r="N7">
        <f ca="1">OFFSET(coal!$F$20,(ROW(N6)-1)*5,0)*1000</f>
        <v>1040624.4321716022</v>
      </c>
      <c r="O7">
        <f>ccs!$F$6*ccs!B25</f>
        <v>127.49133208643519</v>
      </c>
      <c r="P7">
        <f ca="1">OFFSET(nuclear!$B$8,(ROW(P6)-1)*5,0)*1000</f>
        <v>1815208.0930648863</v>
      </c>
      <c r="Q7">
        <f t="shared" si="0"/>
        <v>918307.69230769225</v>
      </c>
      <c r="R7">
        <f t="shared" si="1"/>
        <v>2240153.8461538497</v>
      </c>
      <c r="S7">
        <f>SMR!T7</f>
        <v>447177.81771490118</v>
      </c>
      <c r="T7">
        <f>ccs!$J$6*ccs!B25</f>
        <v>41.888254397245049</v>
      </c>
      <c r="U7">
        <f>SMR!V7</f>
        <v>2749131.9074456538</v>
      </c>
      <c r="V7">
        <f>ccs!$J$6*ccs!B25</f>
        <v>41.888254397245049</v>
      </c>
      <c r="W7">
        <v>1245090</v>
      </c>
      <c r="X7">
        <v>1562022.0000000002</v>
      </c>
      <c r="Y7">
        <f ca="1">OFFSET('H2 turbine'!$B$12,(ROW(Z6)-1)*5,0)*1000</f>
        <v>306722.22222222225</v>
      </c>
      <c r="Z7">
        <v>69045.899999999994</v>
      </c>
      <c r="AA7">
        <f>'hydrogen storage'!D14</f>
        <v>1629.9359999999999</v>
      </c>
      <c r="AB7">
        <f t="shared" ref="AB7:AB8" si="4">1.93*1.1*1.0928</f>
        <v>2.3200144000000003</v>
      </c>
      <c r="AC7">
        <f t="shared" si="2"/>
        <v>4.6400288000000005</v>
      </c>
      <c r="AD7">
        <f t="shared" si="3"/>
        <v>3.8226144000000009</v>
      </c>
      <c r="AE7">
        <f>DAC!B24</f>
        <v>251.96404109589042</v>
      </c>
    </row>
    <row r="8" spans="1:31" x14ac:dyDescent="0.25">
      <c r="A8">
        <v>2050</v>
      </c>
      <c r="B8">
        <f ca="1">OFFSET(battery!$F$15,(ROW(B7)-1)*5,0)*1000</f>
        <v>412034.80642593093</v>
      </c>
      <c r="C8">
        <f ca="1">OFFSET(battery!$C$15,(ROW(C7)-1)*5,0)*1000</f>
        <v>111278.95707392975</v>
      </c>
      <c r="D8">
        <f ca="1">OFFSET(Solar!$C$11,(ROW(D7)-1)*5,0)*1000</f>
        <v>307707.58023782534</v>
      </c>
      <c r="E8">
        <f ca="1">OFFSET(Solar!$F$11,(ROW(Solar!E7)-1)*5,0)*1000</f>
        <v>291893.46197850793</v>
      </c>
      <c r="F8">
        <f ca="1">OFFSET(gas!$C$18,(ROW(gas!C7)-1)*5,0)*1000</f>
        <v>285953.58222467743</v>
      </c>
      <c r="G8">
        <f>ccs!$H$6*ccs!B26</f>
        <v>157.04290478520332</v>
      </c>
      <c r="H8">
        <f ca="1">OFFSET(gas!$F$18,(ROW(gas!E7)-1)*5,0)*1000</f>
        <v>318222.71325323387</v>
      </c>
      <c r="I8">
        <f>ccs!$H$6*ccs!B26</f>
        <v>157.04290478520332</v>
      </c>
      <c r="J8">
        <v>1157000</v>
      </c>
      <c r="K8">
        <v>2857000</v>
      </c>
      <c r="L8">
        <f ca="1">OFFSET(coal!$C$20,(ROW(L7)-1)*5,0)*1000</f>
        <v>495210.67611633649</v>
      </c>
      <c r="M8">
        <f>ccs!$C$6*ccs!B26</f>
        <v>163.87903965261427</v>
      </c>
      <c r="N8">
        <f ca="1">OFFSET(coal!$F$20,(ROW(N7)-1)*5,0)*1000</f>
        <v>1029882.1932784199</v>
      </c>
      <c r="O8">
        <f>ccs!$F$6*ccs!B26</f>
        <v>124.38178740140019</v>
      </c>
      <c r="P8">
        <f ca="1">OFFSET(nuclear!$B$8,(ROW(P7)-1)*5,0)*1000</f>
        <v>1738729.5618643423</v>
      </c>
      <c r="Q8">
        <f t="shared" si="0"/>
        <v>918307.69230769225</v>
      </c>
      <c r="R8">
        <f t="shared" si="1"/>
        <v>2240153.8461538497</v>
      </c>
      <c r="S8">
        <f>SMR!T8</f>
        <v>425590.29902477557</v>
      </c>
      <c r="T8">
        <f>ccs!$J$6*ccs!B26</f>
        <v>40.866589655848827</v>
      </c>
      <c r="U8">
        <f>SMR!V8</f>
        <v>2603313.369188224</v>
      </c>
      <c r="V8">
        <f>ccs!$J$6*ccs!B26</f>
        <v>40.866589655848827</v>
      </c>
      <c r="W8">
        <v>1245090</v>
      </c>
      <c r="X8">
        <v>1562022.0000000002</v>
      </c>
      <c r="Y8">
        <f ca="1">OFFSET('H2 turbine'!$B$12,(ROW(Z7)-1)*5,0)*1000</f>
        <v>305111.11111111112</v>
      </c>
      <c r="Z8">
        <v>69045.899999999994</v>
      </c>
      <c r="AA8">
        <f>'hydrogen storage'!D15</f>
        <v>1448.8319999999999</v>
      </c>
      <c r="AB8">
        <f t="shared" si="4"/>
        <v>2.3200144000000003</v>
      </c>
      <c r="AC8">
        <f t="shared" si="2"/>
        <v>4.6400288000000005</v>
      </c>
      <c r="AD8">
        <f t="shared" si="3"/>
        <v>3.8226144000000009</v>
      </c>
      <c r="AE8">
        <f>DAC!B25</f>
        <v>232.58219178082189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workbookViewId="0">
      <selection activeCell="U14" sqref="U14"/>
    </sheetView>
  </sheetViews>
  <sheetFormatPr defaultRowHeight="15" x14ac:dyDescent="0.25"/>
  <sheetData>
    <row r="1" spans="1:31" x14ac:dyDescent="0.25">
      <c r="A1" t="s">
        <v>1</v>
      </c>
      <c r="B1" t="s">
        <v>2</v>
      </c>
      <c r="C1" t="s">
        <v>33</v>
      </c>
      <c r="D1" t="s">
        <v>3</v>
      </c>
      <c r="E1" t="s">
        <v>4</v>
      </c>
      <c r="F1" t="s">
        <v>41</v>
      </c>
      <c r="G1" t="s">
        <v>115</v>
      </c>
      <c r="H1" t="s">
        <v>42</v>
      </c>
      <c r="I1" t="s">
        <v>114</v>
      </c>
      <c r="J1" t="s">
        <v>0</v>
      </c>
      <c r="K1" t="s">
        <v>5</v>
      </c>
      <c r="L1" t="s">
        <v>43</v>
      </c>
      <c r="M1" t="s">
        <v>85</v>
      </c>
      <c r="N1" t="s">
        <v>44</v>
      </c>
      <c r="O1" t="s">
        <v>86</v>
      </c>
      <c r="P1" t="s">
        <v>45</v>
      </c>
      <c r="Q1" t="s">
        <v>31</v>
      </c>
      <c r="R1" t="s">
        <v>32</v>
      </c>
      <c r="S1" t="s">
        <v>73</v>
      </c>
      <c r="T1" t="s">
        <v>87</v>
      </c>
      <c r="U1" t="s">
        <v>74</v>
      </c>
      <c r="V1" t="s">
        <v>88</v>
      </c>
      <c r="W1" t="s">
        <v>69</v>
      </c>
      <c r="X1" t="s">
        <v>53</v>
      </c>
      <c r="Y1" t="s">
        <v>46</v>
      </c>
      <c r="Z1" t="s">
        <v>52</v>
      </c>
      <c r="AA1" t="s">
        <v>68</v>
      </c>
      <c r="AB1" t="s">
        <v>82</v>
      </c>
      <c r="AC1" t="s">
        <v>83</v>
      </c>
      <c r="AD1" t="s">
        <v>84</v>
      </c>
      <c r="AE1" t="s">
        <v>124</v>
      </c>
    </row>
    <row r="2" spans="1:31" x14ac:dyDescent="0.25">
      <c r="A2">
        <v>2020</v>
      </c>
      <c r="B2">
        <f ca="1">OFFSET(battery!$F$15,(ROW(B1)-1)*5,0)*1000</f>
        <v>492307.69230769231</v>
      </c>
      <c r="C2">
        <f ca="1">OFFSET(battery!$C$15,(ROW(C1)-1)*5,0)*1000</f>
        <v>246153.84615384619</v>
      </c>
      <c r="D2">
        <f ca="1">OFFSET(Solar!$C$11,(ROW(D1)-1)*5,0)*1000</f>
        <v>628000</v>
      </c>
      <c r="E2">
        <f ca="1">OFFSET(Solar!$F$11,(ROW(Solar!E1)-1)*5,0)*1000</f>
        <v>746000</v>
      </c>
      <c r="F2">
        <f ca="1">OFFSET(gas!$C$18,(ROW(gas!C1)-1)*5,0)*1000</f>
        <v>367230.76923076925</v>
      </c>
      <c r="G2">
        <f>ccs!$H$6*ccs!B20</f>
        <v>337.64224528818715</v>
      </c>
      <c r="H2">
        <f ca="1">OFFSET(gas!$F$18,(ROW(gas!E1)-1)*5,0)*1000</f>
        <v>408913.25630284339</v>
      </c>
      <c r="I2">
        <f>ccs!$H$6*ccs!B20</f>
        <v>337.64224528818715</v>
      </c>
      <c r="J2">
        <f ca="1">OFFSET(land!$C$12,(ROW(J1)-1)*5,0)*1000</f>
        <v>1157000</v>
      </c>
      <c r="K2">
        <f ca="1">OFFSET(offshore!$K$13,(ROW(K1)-1)*5,0)*1000</f>
        <v>2857000</v>
      </c>
      <c r="L2">
        <f ca="1">OFFSET(coal!$C$20,(ROW(L1)-1)*5,0)*1000</f>
        <v>622461.5384615385</v>
      </c>
      <c r="M2">
        <f>ccs!$C$6*ccs!B20</f>
        <v>352.3399352531207</v>
      </c>
      <c r="N2">
        <f ca="1">OFFSET(coal!$F$20,(ROW(N1)-1)*5,0)*1000</f>
        <v>1089999.5099240381</v>
      </c>
      <c r="O2">
        <f>ccs!$F$6*ccs!B20</f>
        <v>267.4208429130104</v>
      </c>
      <c r="P2">
        <f ca="1">OFFSET(nuclear!$B$8,(ROW(P1)-1)*5,0)*1000</f>
        <v>2461538.4615384615</v>
      </c>
      <c r="Q2">
        <f>5969/6.5*1000</f>
        <v>918307.69230769225</v>
      </c>
      <c r="R2">
        <f>2240.15384615385*1000</f>
        <v>2240153.8461538497</v>
      </c>
      <c r="S2">
        <f>SMR!T2</f>
        <v>546556.72319999989</v>
      </c>
      <c r="T2">
        <f>ccs!$J$6*ccs!B20</f>
        <v>87.863167760074973</v>
      </c>
      <c r="U2">
        <f>SMR!V2</f>
        <v>3272268.8</v>
      </c>
      <c r="V2">
        <f>ccs!$J$6*ccs!B20</f>
        <v>87.863167760074973</v>
      </c>
      <c r="W2">
        <f ca="1">OFFSET(Electrolyzer!$C$2,(ROW(W1)-1)*5,0)*1000</f>
        <v>1245090</v>
      </c>
      <c r="X2">
        <f>'Fuel cell'!C2*1000</f>
        <v>1562022.0000000002</v>
      </c>
      <c r="Y2">
        <f ca="1">OFFSET('H2 turbine'!$B$12,(ROW(Z1)-1)*5,0)*1000</f>
        <v>314777.77777777775</v>
      </c>
      <c r="Z2">
        <f>'hydrogen storage'!B9</f>
        <v>69045.899999999994</v>
      </c>
      <c r="AA2">
        <f>'hydrogen storage'!D9</f>
        <v>3610.7609999999995</v>
      </c>
      <c r="AB2">
        <f>2.36*1.1*1.0928</f>
        <v>2.8369088000000002</v>
      </c>
      <c r="AC2">
        <f>AB2*2</f>
        <v>5.6738176000000005</v>
      </c>
      <c r="AD2">
        <f>3.89*1.1*1.0928</f>
        <v>4.676091200000001</v>
      </c>
      <c r="AE2">
        <f>DAC!B19</f>
        <v>839.8801369863013</v>
      </c>
    </row>
    <row r="3" spans="1:31" x14ac:dyDescent="0.25">
      <c r="A3">
        <v>2025</v>
      </c>
      <c r="B3">
        <f ca="1">OFFSET(battery!$F$15,(ROW(B2)-1)*5,0)*1000</f>
        <v>474606.98277086945</v>
      </c>
      <c r="C3">
        <f ca="1">OFFSET(battery!$C$15,(ROW(C2)-1)*5,0)*1000</f>
        <v>219340.5647717136</v>
      </c>
      <c r="D3">
        <f ca="1">OFFSET(Solar!$C$11,(ROW(D2)-1)*5,0)*1000</f>
        <v>607009.57568009151</v>
      </c>
      <c r="E3">
        <f ca="1">OFFSET(Solar!$F$11,(ROW(Solar!E2)-1)*5,0)*1000</f>
        <v>686543.82764240284</v>
      </c>
      <c r="F3">
        <f ca="1">OFFSET(gas!$C$18,(ROW(gas!C2)-1)*5,0)*1000</f>
        <v>358513.34223327041</v>
      </c>
      <c r="G3">
        <f>ccs!$H$6*ccs!B21</f>
        <v>235.56435717780499</v>
      </c>
      <c r="H3">
        <f ca="1">OFFSET(gas!$F$18,(ROW(gas!E2)-1)*5,0)*1000</f>
        <v>398327.80923445197</v>
      </c>
      <c r="I3">
        <f>ccs!$H$6*ccs!B21</f>
        <v>235.56435717780499</v>
      </c>
      <c r="J3">
        <f ca="1">OFFSET(land!$C$12,(ROW(J2)-1)*5,0)*1000</f>
        <v>1076640.9880166219</v>
      </c>
      <c r="K3">
        <f ca="1">OFFSET(offshore!$K$13,(ROW(K2)-1)*5,0)*1000</f>
        <v>2492043.9563389542</v>
      </c>
      <c r="L3">
        <f ca="1">OFFSET(coal!$C$20,(ROW(L2)-1)*5,0)*1000</f>
        <v>612285.82738016697</v>
      </c>
      <c r="M3">
        <f>ccs!$C$6*ccs!B21</f>
        <v>245.81855947892143</v>
      </c>
      <c r="N3">
        <f ca="1">OFFSET(coal!$F$20,(ROW(N2)-1)*5,0)*1000</f>
        <v>1083549.8086818843</v>
      </c>
      <c r="O3">
        <f>ccs!$F$6*ccs!B21</f>
        <v>186.57268110210029</v>
      </c>
      <c r="P3">
        <f ca="1">OFFSET(nuclear!$B$8,(ROW(P2)-1)*5,0)*1000</f>
        <v>2113664.33502365</v>
      </c>
      <c r="Q3">
        <f t="shared" ref="Q3:Q8" si="0">5969/6.5*1000</f>
        <v>918307.69230769225</v>
      </c>
      <c r="R3">
        <f t="shared" ref="R3:R8" si="1">2240.15384615385*1000</f>
        <v>2240153.8461538497</v>
      </c>
      <c r="S3">
        <f>SMR!T3</f>
        <v>533582.40641149005</v>
      </c>
      <c r="T3">
        <f>ccs!$J$6*ccs!B21</f>
        <v>61.299884483773241</v>
      </c>
      <c r="U3">
        <f>SMR!V3</f>
        <v>3218775.2749676201</v>
      </c>
      <c r="V3">
        <f>ccs!$J$6*ccs!B21</f>
        <v>61.299884483773241</v>
      </c>
      <c r="W3">
        <f ca="1">OFFSET(Electrolyzer!$C$2,(ROW(W2)-1)*5,0)*1000</f>
        <v>905520</v>
      </c>
      <c r="X3">
        <f>'Fuel cell'!C3*1000</f>
        <v>1443172.5000000002</v>
      </c>
      <c r="Y3">
        <f ca="1">OFFSET('H2 turbine'!$B$12,(ROW(Z2)-1)*5,0)*1000</f>
        <v>313166.66666666669</v>
      </c>
      <c r="Z3">
        <f>'hydrogen storage'!B10</f>
        <v>61688.549999999996</v>
      </c>
      <c r="AA3">
        <f>'hydrogen storage'!D10</f>
        <v>3010.8539999999994</v>
      </c>
      <c r="AB3">
        <f>2.25*1.1*1.0928</f>
        <v>2.7046800000000002</v>
      </c>
      <c r="AC3">
        <f t="shared" ref="AC3:AC8" si="2">AB3*2</f>
        <v>5.4093600000000004</v>
      </c>
      <c r="AD3">
        <f>3.7*1.1*1.0928</f>
        <v>4.4476960000000005</v>
      </c>
      <c r="AE3">
        <f>DAC!B20</f>
        <v>620.21917808219177</v>
      </c>
    </row>
    <row r="4" spans="1:31" x14ac:dyDescent="0.25">
      <c r="A4">
        <v>2030</v>
      </c>
      <c r="B4">
        <f ca="1">OFFSET(battery!$F$15,(ROW(B3)-1)*5,0)*1000</f>
        <v>483790.42077117879</v>
      </c>
      <c r="C4">
        <f ca="1">OFFSET(battery!$C$15,(ROW(C3)-1)*5,0)*1000</f>
        <v>173879.94718483053</v>
      </c>
      <c r="D4">
        <f ca="1">OFFSET(Solar!$C$11,(ROW(D3)-1)*5,0)*1000</f>
        <v>505217.02450861299</v>
      </c>
      <c r="E4">
        <f ca="1">OFFSET(Solar!$F$11,(ROW(Solar!E3)-1)*5,0)*1000</f>
        <v>548996.59879898466</v>
      </c>
      <c r="F4">
        <f ca="1">OFFSET(gas!$C$18,(ROW(gas!C3)-1)*5,0)*1000</f>
        <v>344008.71580045728</v>
      </c>
      <c r="G4">
        <f>ccs!$H$6*ccs!B22</f>
        <v>196.30363098150417</v>
      </c>
      <c r="H4">
        <f ca="1">OFFSET(gas!$F$18,(ROW(gas!E3)-1)*5,0)*1000</f>
        <v>380673.18817229051</v>
      </c>
      <c r="I4">
        <f>ccs!$H$6*ccs!B22</f>
        <v>196.30363098150417</v>
      </c>
      <c r="J4">
        <f ca="1">OFFSET(land!$C$12,(ROW(J3)-1)*5,0)*1000</f>
        <v>976192.22303741041</v>
      </c>
      <c r="K4">
        <f ca="1">OFFSET(offshore!$K$13,(ROW(K3)-1)*5,0)*1000</f>
        <v>2290687.2747561219</v>
      </c>
      <c r="L4">
        <f ca="1">OFFSET(coal!$C$20,(ROW(L3)-1)*5,0)*1000</f>
        <v>595355.36161951255</v>
      </c>
      <c r="M4">
        <f>ccs!$C$6*ccs!B22</f>
        <v>204.84879956576785</v>
      </c>
      <c r="N4">
        <f ca="1">OFFSET(coal!$F$20,(ROW(N3)-1)*5,0)*1000</f>
        <v>1072807.5697887018</v>
      </c>
      <c r="O4">
        <f>ccs!$F$6*ccs!B22</f>
        <v>155.47723425175025</v>
      </c>
      <c r="P4">
        <f ca="1">OFFSET(nuclear!$B$8,(ROW(P3)-1)*5,0)*1000</f>
        <v>2015507.9702320395</v>
      </c>
      <c r="Q4">
        <f t="shared" si="0"/>
        <v>918307.69230769225</v>
      </c>
      <c r="R4">
        <f t="shared" si="1"/>
        <v>2240153.8461538497</v>
      </c>
      <c r="S4">
        <f>SMR!T4</f>
        <v>511994.88772136444</v>
      </c>
      <c r="T4">
        <f>ccs!$J$6*ccs!B22</f>
        <v>51.083237069811034</v>
      </c>
      <c r="U4">
        <f>SMR!V4</f>
        <v>3129772.1294640666</v>
      </c>
      <c r="V4">
        <f>ccs!$J$6*ccs!B22</f>
        <v>51.083237069811034</v>
      </c>
      <c r="W4">
        <f ca="1">OFFSET(Electrolyzer!$C$2,(ROW(W3)-1)*5,0)*1000</f>
        <v>565950</v>
      </c>
      <c r="X4">
        <f>'Fuel cell'!C4*1000</f>
        <v>1324322.9999999998</v>
      </c>
      <c r="Y4">
        <f ca="1">OFFSET('H2 turbine'!$B$12,(ROW(Z3)-1)*5,0)*1000</f>
        <v>311555.55555555556</v>
      </c>
      <c r="Z4">
        <f>'hydrogen storage'!B11</f>
        <v>54331.199999999997</v>
      </c>
      <c r="AA4">
        <f>'hydrogen storage'!D11</f>
        <v>2410.9469999999997</v>
      </c>
      <c r="AB4">
        <f>2.14*1.1*1.0928</f>
        <v>2.5724512000000006</v>
      </c>
      <c r="AC4">
        <f t="shared" si="2"/>
        <v>5.1449024000000012</v>
      </c>
      <c r="AD4">
        <f>3.52*1.1*1.0928</f>
        <v>4.2313216000000002</v>
      </c>
      <c r="AE4">
        <f>DAC!B21</f>
        <v>387.6369863013698</v>
      </c>
    </row>
    <row r="5" spans="1:31" x14ac:dyDescent="0.25">
      <c r="A5">
        <v>2035</v>
      </c>
      <c r="B5">
        <f ca="1">OFFSET(battery!$F$15,(ROW(B4)-1)*5,0)*1000</f>
        <v>467109.57439716003</v>
      </c>
      <c r="C5">
        <f ca="1">OFFSET(battery!$C$15,(ROW(C4)-1)*5,0)*1000</f>
        <v>158078.00013369246</v>
      </c>
      <c r="D5">
        <f ca="1">OFFSET(Solar!$C$11,(ROW(D4)-1)*5,0)*1000</f>
        <v>403424.47333713423</v>
      </c>
      <c r="E5">
        <f ca="1">OFFSET(Solar!$F$11,(ROW(Solar!E4)-1)*5,0)*1000</f>
        <v>411449.36995556689</v>
      </c>
      <c r="F5">
        <f ca="1">OFFSET(gas!$C$18,(ROW(gas!C4)-1)*5,0)*1000</f>
        <v>329504.08936764416</v>
      </c>
      <c r="G5">
        <f>ccs!$H$6*ccs!B23</f>
        <v>180.59934050298384</v>
      </c>
      <c r="H5">
        <f ca="1">OFFSET(gas!$F$18,(ROW(gas!E4)-1)*5,0)*1000</f>
        <v>363018.56711012905</v>
      </c>
      <c r="I5">
        <f>ccs!$H$6*ccs!B23</f>
        <v>180.59934050298384</v>
      </c>
      <c r="J5">
        <f ca="1">OFFSET(land!$C$12,(ROW(J4)-1)*5,0)*1000</f>
        <v>928132.1851528117</v>
      </c>
      <c r="K5">
        <f ca="1">OFFSET(offshore!$K$13,(ROW(K4)-1)*5,0)*1000</f>
        <v>2166215.1199255665</v>
      </c>
      <c r="L5">
        <f ca="1">OFFSET(coal!$C$20,(ROW(L4)-1)*5,0)*1000</f>
        <v>578403.10632763465</v>
      </c>
      <c r="M5">
        <f>ccs!$C$6*ccs!B23</f>
        <v>188.46089560050643</v>
      </c>
      <c r="N5">
        <f ca="1">OFFSET(coal!$F$20,(ROW(N4)-1)*5,0)*1000</f>
        <v>1062087.1204267431</v>
      </c>
      <c r="O5">
        <f>ccs!$F$6*ccs!B23</f>
        <v>143.03905551161023</v>
      </c>
      <c r="P5">
        <f ca="1">OFFSET(nuclear!$B$8,(ROW(P4)-1)*5,0)*1000</f>
        <v>1948571.2220878473</v>
      </c>
      <c r="Q5">
        <f t="shared" si="0"/>
        <v>918307.69230769225</v>
      </c>
      <c r="R5">
        <f t="shared" si="1"/>
        <v>2240153.8461538497</v>
      </c>
      <c r="S5">
        <f>SMR!T5</f>
        <v>490407.36903123878</v>
      </c>
      <c r="T5">
        <f>ccs!$J$6*ccs!B23</f>
        <v>46.996578104226153</v>
      </c>
      <c r="U5">
        <f>SMR!V5</f>
        <v>3040654.4367977036</v>
      </c>
      <c r="V5">
        <f>ccs!$J$6*ccs!B23</f>
        <v>46.996578104226153</v>
      </c>
      <c r="W5">
        <f ca="1">OFFSET(Electrolyzer!$C$2,(ROW(W4)-1)*5,0)*1000</f>
        <v>694166.66666666674</v>
      </c>
      <c r="X5">
        <f>'Fuel cell'!C5*1000</f>
        <v>1233771</v>
      </c>
      <c r="Y5">
        <f ca="1">OFFSET('H2 turbine'!$B$12,(ROW(Z4)-1)*5,0)*1000</f>
        <v>309944.44444444444</v>
      </c>
      <c r="Z5">
        <f>'hydrogen storage'!B12</f>
        <v>43578.149999999994</v>
      </c>
      <c r="AA5">
        <f>'hydrogen storage'!D12</f>
        <v>2110.9934999999996</v>
      </c>
      <c r="AB5">
        <f>(AB4+AB6)/2</f>
        <v>2.4462328000000007</v>
      </c>
      <c r="AC5">
        <f t="shared" si="2"/>
        <v>4.8924656000000013</v>
      </c>
      <c r="AD5">
        <f>(AD4+AD6)/2</f>
        <v>4.0269680000000001</v>
      </c>
      <c r="AE5">
        <f>DAC!B22</f>
        <v>329.49143835616439</v>
      </c>
    </row>
    <row r="6" spans="1:31" x14ac:dyDescent="0.25">
      <c r="A6">
        <v>2040</v>
      </c>
      <c r="B6">
        <f ca="1">OFFSET(battery!$F$15,(ROW(B5)-1)*5,0)*1000</f>
        <v>449709.83080580318</v>
      </c>
      <c r="C6">
        <f ca="1">OFFSET(battery!$C$15,(ROW(C5)-1)*5,0)*1000</f>
        <v>142362.73941461253</v>
      </c>
      <c r="D6">
        <f ca="1">OFFSET(Solar!$C$11,(ROW(D5)-1)*5,0)*1000</f>
        <v>371518.84230403125</v>
      </c>
      <c r="E6">
        <f ca="1">OFFSET(Solar!$F$11,(ROW(Solar!E5)-1)*5,0)*1000</f>
        <v>371597.40062988061</v>
      </c>
      <c r="F6">
        <f ca="1">OFFSET(gas!$C$18,(ROW(gas!C5)-1)*5,0)*1000</f>
        <v>314962.83509030374</v>
      </c>
      <c r="G6">
        <f>ccs!$H$6*ccs!B24</f>
        <v>164.8950500244635</v>
      </c>
      <c r="H6">
        <f ca="1">OFFSET(gas!$F$18,(ROW(gas!E5)-1)*5,0)*1000</f>
        <v>348074.4065429882</v>
      </c>
      <c r="I6">
        <f>ccs!$H$6*ccs!B24</f>
        <v>164.8950500244635</v>
      </c>
      <c r="J6">
        <f ca="1">OFFSET(land!$C$12,(ROW(J5)-1)*5,0)*1000</f>
        <v>880072.14726822276</v>
      </c>
      <c r="K6">
        <f ca="1">OFFSET(offshore!$K$13,(ROW(K5)-1)*5,0)*1000</f>
        <v>2075879.4719771212</v>
      </c>
      <c r="L6">
        <f ca="1">OFFSET(coal!$C$20,(ROW(L5)-1)*5,0)*1000</f>
        <v>550665.03308012744</v>
      </c>
      <c r="M6">
        <f>ccs!$C$6*ccs!B24</f>
        <v>172.07299163524502</v>
      </c>
      <c r="N6">
        <f ca="1">OFFSET(coal!$F$20,(ROW(N5)-1)*5,0)*1000</f>
        <v>1051344.8815335608</v>
      </c>
      <c r="O6">
        <f>ccs!$F$6*ccs!B24</f>
        <v>130.60087677147021</v>
      </c>
      <c r="P6">
        <f ca="1">OFFSET(nuclear!$B$8,(ROW(P5)-1)*5,0)*1000</f>
        <v>1879782.7212859497</v>
      </c>
      <c r="Q6">
        <f t="shared" si="0"/>
        <v>918307.69230769225</v>
      </c>
      <c r="R6">
        <f t="shared" si="1"/>
        <v>2240153.8461538497</v>
      </c>
      <c r="S6">
        <f>SMR!T6</f>
        <v>468765.3364050269</v>
      </c>
      <c r="T6">
        <f>ccs!$J$6*ccs!B24</f>
        <v>42.909919138641271</v>
      </c>
      <c r="U6">
        <f>SMR!V6</f>
        <v>2894835.8985402733</v>
      </c>
      <c r="V6">
        <f>ccs!$J$6*ccs!B24</f>
        <v>42.909919138641271</v>
      </c>
      <c r="W6">
        <f ca="1">OFFSET(Electrolyzer!$C$2,(ROW(W5)-1)*5,0)*1000</f>
        <v>452760</v>
      </c>
      <c r="X6">
        <f>'Fuel cell'!C6*1000</f>
        <v>1143219</v>
      </c>
      <c r="Y6">
        <f ca="1">OFFSET('H2 turbine'!$B$12,(ROW(Z5)-1)*5,0)*1000</f>
        <v>308333.33333333331</v>
      </c>
      <c r="Z6">
        <f>'hydrogen storage'!B13</f>
        <v>32825.1</v>
      </c>
      <c r="AA6">
        <f>'hydrogen storage'!D13</f>
        <v>1811.04</v>
      </c>
      <c r="AB6">
        <f>1.93*1.1*1.0928</f>
        <v>2.3200144000000003</v>
      </c>
      <c r="AC6">
        <f t="shared" si="2"/>
        <v>4.6400288000000005</v>
      </c>
      <c r="AD6">
        <f t="shared" ref="AD6:AD8" si="3">3.18*1.1*1.0928</f>
        <v>3.8226144000000009</v>
      </c>
      <c r="AE6">
        <f>DAC!B23</f>
        <v>271.34589041095893</v>
      </c>
    </row>
    <row r="7" spans="1:31" x14ac:dyDescent="0.25">
      <c r="A7">
        <v>2045</v>
      </c>
      <c r="B7">
        <f ca="1">OFFSET(battery!$F$15,(ROW(B6)-1)*5,0)*1000</f>
        <v>431425.30164641637</v>
      </c>
      <c r="C7">
        <f ca="1">OFFSET(battery!$C$15,(ROW(C6)-1)*5,0)*1000</f>
        <v>126754.16823848918</v>
      </c>
      <c r="D7">
        <f ca="1">OFFSET(Solar!$C$11,(ROW(D6)-1)*5,0)*1000</f>
        <v>339613.21127092832</v>
      </c>
      <c r="E7">
        <f ca="1">OFFSET(Solar!$F$11,(ROW(Solar!E6)-1)*5,0)*1000</f>
        <v>331745.43130419438</v>
      </c>
      <c r="F7">
        <f ca="1">OFFSET(gas!$C$18,(ROW(gas!C6)-1)*5,0)*1000</f>
        <v>300458.2086574905</v>
      </c>
      <c r="G7">
        <f>ccs!$H$6*ccs!B25</f>
        <v>160.96897740483342</v>
      </c>
      <c r="H7">
        <f ca="1">OFFSET(gas!$F$18,(ROW(gas!E6)-1)*5,0)*1000</f>
        <v>333130.24597584741</v>
      </c>
      <c r="I7">
        <f>ccs!$H$6*ccs!B25</f>
        <v>160.96897740483342</v>
      </c>
      <c r="J7">
        <f ca="1">OFFSET(land!$C$12,(ROW(J6)-1)*5,0)*1000</f>
        <v>832012.10938362509</v>
      </c>
      <c r="K7">
        <f ca="1">OFFSET(offshore!$K$13,(ROW(K6)-1)*5,0)*1000</f>
        <v>2004930.7310270788</v>
      </c>
      <c r="L7">
        <f ca="1">OFFSET(coal!$C$20,(ROW(L6)-1)*5,0)*1000</f>
        <v>522948.7493638437</v>
      </c>
      <c r="M7">
        <f>ccs!$C$6*ccs!B25</f>
        <v>167.97601564392963</v>
      </c>
      <c r="N7">
        <f ca="1">OFFSET(coal!$F$20,(ROW(N6)-1)*5,0)*1000</f>
        <v>1040624.4321716022</v>
      </c>
      <c r="O7">
        <f>ccs!$F$6*ccs!B25</f>
        <v>127.49133208643519</v>
      </c>
      <c r="P7">
        <f ca="1">OFFSET(nuclear!$B$8,(ROW(P6)-1)*5,0)*1000</f>
        <v>1815208.0930648863</v>
      </c>
      <c r="Q7">
        <f t="shared" si="0"/>
        <v>918307.69230769225</v>
      </c>
      <c r="R7">
        <f t="shared" si="1"/>
        <v>2240153.8461538497</v>
      </c>
      <c r="S7">
        <f>SMR!T7</f>
        <v>447177.81771490118</v>
      </c>
      <c r="T7">
        <f>ccs!$J$6*ccs!B25</f>
        <v>41.888254397245049</v>
      </c>
      <c r="U7">
        <f>SMR!V7</f>
        <v>2749131.9074456538</v>
      </c>
      <c r="V7">
        <f>ccs!$J$6*ccs!B25</f>
        <v>41.888254397245049</v>
      </c>
      <c r="W7">
        <f ca="1">OFFSET(Electrolyzer!$C$2,(ROW(W6)-1)*5,0)*1000</f>
        <v>639833.33333333349</v>
      </c>
      <c r="X7">
        <f>'Fuel cell'!C7*1000</f>
        <v>1052667.0000000002</v>
      </c>
      <c r="Y7">
        <f ca="1">OFFSET('H2 turbine'!$B$12,(ROW(Z6)-1)*5,0)*1000</f>
        <v>306722.22222222225</v>
      </c>
      <c r="Z7">
        <f>'hydrogen storage'!B14</f>
        <v>28863.449999999997</v>
      </c>
      <c r="AA7">
        <f>'hydrogen storage'!D14</f>
        <v>1629.9359999999999</v>
      </c>
      <c r="AB7">
        <f t="shared" ref="AB7:AB8" si="4">1.93*1.1*1.0928</f>
        <v>2.3200144000000003</v>
      </c>
      <c r="AC7">
        <f t="shared" si="2"/>
        <v>4.6400288000000005</v>
      </c>
      <c r="AD7">
        <f t="shared" si="3"/>
        <v>3.8226144000000009</v>
      </c>
      <c r="AE7">
        <f>DAC!B24</f>
        <v>251.96404109589042</v>
      </c>
    </row>
    <row r="8" spans="1:31" x14ac:dyDescent="0.25">
      <c r="A8">
        <v>2050</v>
      </c>
      <c r="B8">
        <f ca="1">OFFSET(battery!$F$15,(ROW(B7)-1)*5,0)*1000</f>
        <v>412034.80642593093</v>
      </c>
      <c r="C8">
        <f ca="1">OFFSET(battery!$C$15,(ROW(C7)-1)*5,0)*1000</f>
        <v>111278.95707392975</v>
      </c>
      <c r="D8">
        <f ca="1">OFFSET(Solar!$C$11,(ROW(D7)-1)*5,0)*1000</f>
        <v>307707.58023782534</v>
      </c>
      <c r="E8">
        <f ca="1">OFFSET(Solar!$F$11,(ROW(Solar!E7)-1)*5,0)*1000</f>
        <v>291893.46197850793</v>
      </c>
      <c r="F8">
        <f ca="1">OFFSET(gas!$C$18,(ROW(gas!C7)-1)*5,0)*1000</f>
        <v>285953.58222467743</v>
      </c>
      <c r="G8">
        <f>ccs!$H$6*ccs!B26</f>
        <v>157.04290478520332</v>
      </c>
      <c r="H8">
        <f ca="1">OFFSET(gas!$F$18,(ROW(gas!E7)-1)*5,0)*1000</f>
        <v>318222.71325323387</v>
      </c>
      <c r="I8">
        <f>ccs!$H$6*ccs!B26</f>
        <v>157.04290478520332</v>
      </c>
      <c r="J8">
        <f ca="1">OFFSET(land!$C$12,(ROW(J7)-1)*5,0)*1000</f>
        <v>783952.07149902824</v>
      </c>
      <c r="K8">
        <f ca="1">OFFSET(offshore!$K$13,(ROW(K7)-1)*5,0)*1000</f>
        <v>1946500.3253128789</v>
      </c>
      <c r="L8">
        <f ca="1">OFFSET(coal!$C$20,(ROW(L7)-1)*5,0)*1000</f>
        <v>495210.67611633649</v>
      </c>
      <c r="M8">
        <f>ccs!$C$6*ccs!B26</f>
        <v>163.87903965261427</v>
      </c>
      <c r="N8">
        <f ca="1">OFFSET(coal!$F$20,(ROW(N7)-1)*5,0)*1000</f>
        <v>1029882.1932784199</v>
      </c>
      <c r="O8">
        <f>ccs!$F$6*ccs!B26</f>
        <v>124.38178740140019</v>
      </c>
      <c r="P8">
        <f ca="1">OFFSET(nuclear!$B$8,(ROW(P7)-1)*5,0)*1000</f>
        <v>1738729.5618643423</v>
      </c>
      <c r="Q8">
        <f t="shared" si="0"/>
        <v>918307.69230769225</v>
      </c>
      <c r="R8">
        <f t="shared" si="1"/>
        <v>2240153.8461538497</v>
      </c>
      <c r="S8">
        <f>SMR!T8</f>
        <v>425590.29902477557</v>
      </c>
      <c r="T8">
        <f>ccs!$J$6*ccs!B26</f>
        <v>40.866589655848827</v>
      </c>
      <c r="U8">
        <f>SMR!V8</f>
        <v>2603313.369188224</v>
      </c>
      <c r="V8">
        <f>ccs!$J$6*ccs!B26</f>
        <v>40.866589655848827</v>
      </c>
      <c r="W8">
        <f ca="1">OFFSET(Electrolyzer!$C$2,(ROW(W7)-1)*5,0)*1000</f>
        <v>311272.5</v>
      </c>
      <c r="X8">
        <f>'Fuel cell'!C8*1000</f>
        <v>962114.99999999988</v>
      </c>
      <c r="Y8">
        <f ca="1">OFFSET('H2 turbine'!$B$12,(ROW(Z7)-1)*5,0)*1000</f>
        <v>305111.11111111112</v>
      </c>
      <c r="Z8">
        <f>'hydrogen storage'!B15</f>
        <v>24901.8</v>
      </c>
      <c r="AA8">
        <f>'hydrogen storage'!D15</f>
        <v>1448.8319999999999</v>
      </c>
      <c r="AB8">
        <f t="shared" si="4"/>
        <v>2.3200144000000003</v>
      </c>
      <c r="AC8">
        <f t="shared" si="2"/>
        <v>4.6400288000000005</v>
      </c>
      <c r="AD8">
        <f t="shared" si="3"/>
        <v>3.8226144000000009</v>
      </c>
      <c r="AE8">
        <f>DAC!B25</f>
        <v>232.58219178082189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workbookViewId="0">
      <selection activeCell="J18" sqref="J18"/>
    </sheetView>
  </sheetViews>
  <sheetFormatPr defaultRowHeight="15" x14ac:dyDescent="0.25"/>
  <sheetData>
    <row r="1" spans="1:31" x14ac:dyDescent="0.25">
      <c r="A1" t="s">
        <v>1</v>
      </c>
      <c r="B1" t="s">
        <v>2</v>
      </c>
      <c r="C1" t="s">
        <v>33</v>
      </c>
      <c r="D1" t="s">
        <v>3</v>
      </c>
      <c r="E1" t="s">
        <v>4</v>
      </c>
      <c r="F1" t="s">
        <v>41</v>
      </c>
      <c r="G1" t="s">
        <v>115</v>
      </c>
      <c r="H1" t="s">
        <v>42</v>
      </c>
      <c r="I1" t="s">
        <v>114</v>
      </c>
      <c r="J1" t="s">
        <v>0</v>
      </c>
      <c r="K1" t="s">
        <v>5</v>
      </c>
      <c r="L1" t="s">
        <v>43</v>
      </c>
      <c r="M1" t="s">
        <v>85</v>
      </c>
      <c r="N1" t="s">
        <v>44</v>
      </c>
      <c r="O1" t="s">
        <v>86</v>
      </c>
      <c r="P1" t="s">
        <v>45</v>
      </c>
      <c r="Q1" t="s">
        <v>31</v>
      </c>
      <c r="R1" t="s">
        <v>32</v>
      </c>
      <c r="S1" t="s">
        <v>73</v>
      </c>
      <c r="T1" t="s">
        <v>87</v>
      </c>
      <c r="U1" t="s">
        <v>74</v>
      </c>
      <c r="V1" t="s">
        <v>88</v>
      </c>
      <c r="W1" t="s">
        <v>69</v>
      </c>
      <c r="X1" t="s">
        <v>53</v>
      </c>
      <c r="Y1" t="s">
        <v>46</v>
      </c>
      <c r="Z1" t="s">
        <v>52</v>
      </c>
      <c r="AA1" t="s">
        <v>68</v>
      </c>
      <c r="AB1" t="s">
        <v>82</v>
      </c>
      <c r="AC1" t="s">
        <v>83</v>
      </c>
      <c r="AD1" t="s">
        <v>84</v>
      </c>
      <c r="AE1" t="s">
        <v>124</v>
      </c>
    </row>
    <row r="2" spans="1:31" x14ac:dyDescent="0.25">
      <c r="A2">
        <v>2020</v>
      </c>
      <c r="B2">
        <f ca="1">OFFSET(battery!$F$15,(ROW(B1)-1)*5,0)*1000</f>
        <v>492307.69230769231</v>
      </c>
      <c r="C2">
        <f ca="1">OFFSET(battery!$C$15,(ROW(C1)-1)*5,0)*1000</f>
        <v>246153.84615384619</v>
      </c>
      <c r="D2">
        <f ca="1">OFFSET(Solar!$C$11,(ROW(D1)-1)*5,0)*1000</f>
        <v>628000</v>
      </c>
      <c r="E2">
        <f ca="1">OFFSET(Solar!$F$11,(ROW(Solar!E1)-1)*5,0)*1000</f>
        <v>746000</v>
      </c>
      <c r="F2">
        <f ca="1">OFFSET(gas!$C$18,(ROW(gas!C1)-1)*5,0)*1000</f>
        <v>367230.76923076925</v>
      </c>
      <c r="G2">
        <f>ccs!$H$6*ccs!B20</f>
        <v>337.64224528818715</v>
      </c>
      <c r="H2">
        <f ca="1">OFFSET(gas!$F$18,(ROW(gas!E1)-1)*5,0)*1000</f>
        <v>408913.25630284339</v>
      </c>
      <c r="I2">
        <f>ccs!$H$6*ccs!B20</f>
        <v>337.64224528818715</v>
      </c>
      <c r="J2">
        <f ca="1">OFFSET(land!$C$12,(ROW(J1)-1)*5,0)*1000</f>
        <v>1157000</v>
      </c>
      <c r="K2">
        <f ca="1">OFFSET(offshore!$K$13,(ROW(K1)-1)*5,0)*1000</f>
        <v>2857000</v>
      </c>
      <c r="L2">
        <f ca="1">OFFSET(coal!$C$20,(ROW(L1)-1)*5,0)*1000</f>
        <v>622461.5384615385</v>
      </c>
      <c r="M2">
        <f>ccs!$C$6*ccs!B20</f>
        <v>352.3399352531207</v>
      </c>
      <c r="N2">
        <f ca="1">OFFSET(coal!$F$20,(ROW(N1)-1)*5,0)*1000</f>
        <v>1089999.5099240381</v>
      </c>
      <c r="O2">
        <f>ccs!$F$6*ccs!B20</f>
        <v>267.4208429130104</v>
      </c>
      <c r="P2">
        <f ca="1">OFFSET(nuclear!$B$8,(ROW(P1)-1)*5,0)*1000</f>
        <v>2461538.4615384615</v>
      </c>
      <c r="Q2">
        <f>5969/6.5*1000</f>
        <v>918307.69230769225</v>
      </c>
      <c r="R2">
        <f>2240.15384615385*1000</f>
        <v>2240153.8461538497</v>
      </c>
      <c r="S2">
        <f>SMR!T2</f>
        <v>546556.72319999989</v>
      </c>
      <c r="T2">
        <f>ccs!$J$6*ccs!B20</f>
        <v>87.863167760074973</v>
      </c>
      <c r="U2">
        <f>SMR!V2</f>
        <v>3272268.8</v>
      </c>
      <c r="V2">
        <f>ccs!$J$6*ccs!B20</f>
        <v>87.863167760074973</v>
      </c>
      <c r="W2">
        <f ca="1">OFFSET(Electrolyzer!$C$2,(ROW(W1)-1)*5,0)*1000</f>
        <v>1245090</v>
      </c>
      <c r="X2">
        <f>'Fuel cell'!C2*1000</f>
        <v>1562022.0000000002</v>
      </c>
      <c r="Y2">
        <f ca="1">OFFSET('H2 turbine'!$B$12,(ROW(Z1)-1)*5,0)*1000</f>
        <v>314777.77777777775</v>
      </c>
      <c r="Z2">
        <f>'hydrogen storage'!B9</f>
        <v>69045.899999999994</v>
      </c>
      <c r="AA2">
        <f>'hydrogen storage'!D9</f>
        <v>3610.7609999999995</v>
      </c>
      <c r="AB2">
        <f>2.36*1.1*1.0928</f>
        <v>2.8369088000000002</v>
      </c>
      <c r="AC2">
        <f>AB2*2</f>
        <v>5.6738176000000005</v>
      </c>
      <c r="AD2">
        <f>3.89*1.1*1.0928</f>
        <v>4.676091200000001</v>
      </c>
      <c r="AE2">
        <f>DAC!B19</f>
        <v>839.8801369863013</v>
      </c>
    </row>
    <row r="3" spans="1:31" x14ac:dyDescent="0.25">
      <c r="A3">
        <v>2025</v>
      </c>
      <c r="B3">
        <f ca="1">OFFSET(battery!$F$15,(ROW(B2)-1)*5,0)*1000</f>
        <v>474606.98277086945</v>
      </c>
      <c r="C3">
        <f ca="1">OFFSET(battery!$C$15,(ROW(C2)-1)*5,0)*1000</f>
        <v>219340.5647717136</v>
      </c>
      <c r="D3">
        <f ca="1">OFFSET(Solar!$C$11,(ROW(D2)-1)*5,0)*1000</f>
        <v>607009.57568009151</v>
      </c>
      <c r="E3">
        <f ca="1">OFFSET(Solar!$F$11,(ROW(Solar!E2)-1)*5,0)*1000</f>
        <v>686543.82764240284</v>
      </c>
      <c r="F3">
        <f ca="1">OFFSET(gas!$C$18,(ROW(gas!C2)-1)*5,0)*1000</f>
        <v>358513.34223327041</v>
      </c>
      <c r="G3">
        <f>ccs!$H$6*ccs!B21</f>
        <v>235.56435717780499</v>
      </c>
      <c r="H3">
        <f ca="1">OFFSET(gas!$F$18,(ROW(gas!E2)-1)*5,0)*1000</f>
        <v>398327.80923445197</v>
      </c>
      <c r="I3">
        <f>ccs!$H$6*ccs!B21</f>
        <v>235.56435717780499</v>
      </c>
      <c r="J3">
        <f ca="1">OFFSET(land!$C$12,(ROW(J2)-1)*5,0)*1000</f>
        <v>1076640.9880166219</v>
      </c>
      <c r="K3">
        <f ca="1">OFFSET(offshore!$K$13,(ROW(K2)-1)*5,0)*1000</f>
        <v>2492043.9563389542</v>
      </c>
      <c r="L3">
        <f ca="1">OFFSET(coal!$C$20,(ROW(L2)-1)*5,0)*1000</f>
        <v>612285.82738016697</v>
      </c>
      <c r="M3">
        <f>ccs!$C$6*ccs!B21</f>
        <v>245.81855947892143</v>
      </c>
      <c r="N3">
        <f ca="1">OFFSET(coal!$F$20,(ROW(N2)-1)*5,0)*1000</f>
        <v>1083549.8086818843</v>
      </c>
      <c r="O3">
        <f>ccs!$F$6*ccs!B21</f>
        <v>186.57268110210029</v>
      </c>
      <c r="P3">
        <f ca="1">OFFSET(nuclear!$B$8,(ROW(P2)-1)*5,0)*1000</f>
        <v>2113664.33502365</v>
      </c>
      <c r="Q3">
        <f t="shared" ref="Q3:Q8" si="0">5969/6.5*1000</f>
        <v>918307.69230769225</v>
      </c>
      <c r="R3">
        <f t="shared" ref="R3:R8" si="1">2240.15384615385*1000</f>
        <v>2240153.8461538497</v>
      </c>
      <c r="S3">
        <f>SMR!T3</f>
        <v>533582.40641149005</v>
      </c>
      <c r="T3">
        <f>ccs!$J$6*ccs!B21</f>
        <v>61.299884483773241</v>
      </c>
      <c r="U3">
        <f>SMR!V3</f>
        <v>3218775.2749676201</v>
      </c>
      <c r="V3">
        <f>ccs!$J$6*ccs!B21</f>
        <v>61.299884483773241</v>
      </c>
      <c r="W3">
        <v>1245090</v>
      </c>
      <c r="X3">
        <v>1562022.0000000002</v>
      </c>
      <c r="Y3">
        <f ca="1">OFFSET('H2 turbine'!$B$12,(ROW(Z2)-1)*5,0)*1000</f>
        <v>313166.66666666669</v>
      </c>
      <c r="Z3">
        <f>'hydrogen storage'!B10</f>
        <v>61688.549999999996</v>
      </c>
      <c r="AA3">
        <f>'hydrogen storage'!D10</f>
        <v>3010.8539999999994</v>
      </c>
      <c r="AB3">
        <f>2.25*1.1*1.0928</f>
        <v>2.7046800000000002</v>
      </c>
      <c r="AC3">
        <f t="shared" ref="AC3:AC8" si="2">AB3*2</f>
        <v>5.4093600000000004</v>
      </c>
      <c r="AD3">
        <f>3.7*1.1*1.0928</f>
        <v>4.4476960000000005</v>
      </c>
      <c r="AE3">
        <f>DAC!B20</f>
        <v>620.21917808219177</v>
      </c>
    </row>
    <row r="4" spans="1:31" x14ac:dyDescent="0.25">
      <c r="A4">
        <v>2030</v>
      </c>
      <c r="B4">
        <f ca="1">OFFSET(battery!$F$15,(ROW(B3)-1)*5,0)*1000</f>
        <v>483790.42077117879</v>
      </c>
      <c r="C4">
        <f ca="1">OFFSET(battery!$C$15,(ROW(C3)-1)*5,0)*1000</f>
        <v>173879.94718483053</v>
      </c>
      <c r="D4">
        <f ca="1">OFFSET(Solar!$C$11,(ROW(D3)-1)*5,0)*1000</f>
        <v>505217.02450861299</v>
      </c>
      <c r="E4">
        <f ca="1">OFFSET(Solar!$F$11,(ROW(Solar!E3)-1)*5,0)*1000</f>
        <v>548996.59879898466</v>
      </c>
      <c r="F4">
        <f ca="1">OFFSET(gas!$C$18,(ROW(gas!C3)-1)*5,0)*1000</f>
        <v>344008.71580045728</v>
      </c>
      <c r="G4">
        <f>ccs!$H$6*ccs!B22</f>
        <v>196.30363098150417</v>
      </c>
      <c r="H4">
        <f ca="1">OFFSET(gas!$F$18,(ROW(gas!E3)-1)*5,0)*1000</f>
        <v>380673.18817229051</v>
      </c>
      <c r="I4">
        <f>ccs!$H$6*ccs!B22</f>
        <v>196.30363098150417</v>
      </c>
      <c r="J4">
        <f ca="1">OFFSET(land!$C$12,(ROW(J3)-1)*5,0)*1000</f>
        <v>976192.22303741041</v>
      </c>
      <c r="K4">
        <f ca="1">OFFSET(offshore!$K$13,(ROW(K3)-1)*5,0)*1000</f>
        <v>2290687.2747561219</v>
      </c>
      <c r="L4">
        <f ca="1">OFFSET(coal!$C$20,(ROW(L3)-1)*5,0)*1000</f>
        <v>595355.36161951255</v>
      </c>
      <c r="M4">
        <f>ccs!$C$6*ccs!B22</f>
        <v>204.84879956576785</v>
      </c>
      <c r="N4">
        <f ca="1">OFFSET(coal!$F$20,(ROW(N3)-1)*5,0)*1000</f>
        <v>1072807.5697887018</v>
      </c>
      <c r="O4">
        <f>ccs!$F$6*ccs!B22</f>
        <v>155.47723425175025</v>
      </c>
      <c r="P4">
        <f ca="1">OFFSET(nuclear!$B$8,(ROW(P3)-1)*5,0)*1000</f>
        <v>2015507.9702320395</v>
      </c>
      <c r="Q4">
        <f t="shared" si="0"/>
        <v>918307.69230769225</v>
      </c>
      <c r="R4">
        <f t="shared" si="1"/>
        <v>2240153.8461538497</v>
      </c>
      <c r="S4">
        <f>SMR!T4</f>
        <v>511994.88772136444</v>
      </c>
      <c r="T4">
        <f>ccs!$J$6*ccs!B22</f>
        <v>51.083237069811034</v>
      </c>
      <c r="U4">
        <f>SMR!V4</f>
        <v>3129772.1294640666</v>
      </c>
      <c r="V4">
        <f>ccs!$J$6*ccs!B22</f>
        <v>51.083237069811034</v>
      </c>
      <c r="W4">
        <v>1245090</v>
      </c>
      <c r="X4">
        <v>1562022.0000000002</v>
      </c>
      <c r="Y4">
        <f ca="1">OFFSET('H2 turbine'!$B$12,(ROW(Z3)-1)*5,0)*1000</f>
        <v>311555.55555555556</v>
      </c>
      <c r="Z4">
        <f>'hydrogen storage'!B11</f>
        <v>54331.199999999997</v>
      </c>
      <c r="AA4">
        <f>'hydrogen storage'!D11</f>
        <v>2410.9469999999997</v>
      </c>
      <c r="AB4">
        <f>2.14*1.1*1.0928</f>
        <v>2.5724512000000006</v>
      </c>
      <c r="AC4">
        <f t="shared" si="2"/>
        <v>5.1449024000000012</v>
      </c>
      <c r="AD4">
        <f>3.52*1.1*1.0928</f>
        <v>4.2313216000000002</v>
      </c>
      <c r="AE4">
        <f>DAC!B21</f>
        <v>387.6369863013698</v>
      </c>
    </row>
    <row r="5" spans="1:31" x14ac:dyDescent="0.25">
      <c r="A5">
        <v>2035</v>
      </c>
      <c r="B5">
        <f ca="1">OFFSET(battery!$F$15,(ROW(B4)-1)*5,0)*1000</f>
        <v>467109.57439716003</v>
      </c>
      <c r="C5">
        <f ca="1">OFFSET(battery!$C$15,(ROW(C4)-1)*5,0)*1000</f>
        <v>158078.00013369246</v>
      </c>
      <c r="D5">
        <f ca="1">OFFSET(Solar!$C$11,(ROW(D4)-1)*5,0)*1000</f>
        <v>403424.47333713423</v>
      </c>
      <c r="E5">
        <f ca="1">OFFSET(Solar!$F$11,(ROW(Solar!E4)-1)*5,0)*1000</f>
        <v>411449.36995556689</v>
      </c>
      <c r="F5">
        <f ca="1">OFFSET(gas!$C$18,(ROW(gas!C4)-1)*5,0)*1000</f>
        <v>329504.08936764416</v>
      </c>
      <c r="G5">
        <f>ccs!$H$6*ccs!B23</f>
        <v>180.59934050298384</v>
      </c>
      <c r="H5">
        <f ca="1">OFFSET(gas!$F$18,(ROW(gas!E4)-1)*5,0)*1000</f>
        <v>363018.56711012905</v>
      </c>
      <c r="I5">
        <f>ccs!$H$6*ccs!B23</f>
        <v>180.59934050298384</v>
      </c>
      <c r="J5">
        <f ca="1">OFFSET(land!$C$12,(ROW(J4)-1)*5,0)*1000</f>
        <v>928132.1851528117</v>
      </c>
      <c r="K5">
        <f ca="1">OFFSET(offshore!$K$13,(ROW(K4)-1)*5,0)*1000</f>
        <v>2166215.1199255665</v>
      </c>
      <c r="L5">
        <f ca="1">OFFSET(coal!$C$20,(ROW(L4)-1)*5,0)*1000</f>
        <v>578403.10632763465</v>
      </c>
      <c r="M5">
        <f>ccs!$C$6*ccs!B23</f>
        <v>188.46089560050643</v>
      </c>
      <c r="N5">
        <f ca="1">OFFSET(coal!$F$20,(ROW(N4)-1)*5,0)*1000</f>
        <v>1062087.1204267431</v>
      </c>
      <c r="O5">
        <f>ccs!$F$6*ccs!B23</f>
        <v>143.03905551161023</v>
      </c>
      <c r="P5">
        <f ca="1">OFFSET(nuclear!$B$8,(ROW(P4)-1)*5,0)*1000</f>
        <v>1948571.2220878473</v>
      </c>
      <c r="Q5">
        <f t="shared" si="0"/>
        <v>918307.69230769225</v>
      </c>
      <c r="R5">
        <f t="shared" si="1"/>
        <v>2240153.8461538497</v>
      </c>
      <c r="S5">
        <f>SMR!T5</f>
        <v>490407.36903123878</v>
      </c>
      <c r="T5">
        <f>ccs!$J$6*ccs!B23</f>
        <v>46.996578104226153</v>
      </c>
      <c r="U5">
        <f>SMR!V5</f>
        <v>3040654.4367977036</v>
      </c>
      <c r="V5">
        <f>ccs!$J$6*ccs!B23</f>
        <v>46.996578104226153</v>
      </c>
      <c r="W5">
        <v>1245090</v>
      </c>
      <c r="X5">
        <v>1562022.0000000002</v>
      </c>
      <c r="Y5">
        <f ca="1">OFFSET('H2 turbine'!$B$12,(ROW(Z4)-1)*5,0)*1000</f>
        <v>309944.44444444444</v>
      </c>
      <c r="Z5">
        <f>'hydrogen storage'!B12</f>
        <v>43578.149999999994</v>
      </c>
      <c r="AA5">
        <f>'hydrogen storage'!D12</f>
        <v>2110.9934999999996</v>
      </c>
      <c r="AB5">
        <f>(AB4+AB6)/2</f>
        <v>2.4462328000000007</v>
      </c>
      <c r="AC5">
        <f t="shared" si="2"/>
        <v>4.8924656000000013</v>
      </c>
      <c r="AD5">
        <f>(AD4+AD6)/2</f>
        <v>4.0269680000000001</v>
      </c>
      <c r="AE5">
        <f>DAC!B22</f>
        <v>329.49143835616439</v>
      </c>
    </row>
    <row r="6" spans="1:31" x14ac:dyDescent="0.25">
      <c r="A6">
        <v>2040</v>
      </c>
      <c r="B6">
        <f ca="1">OFFSET(battery!$F$15,(ROW(B5)-1)*5,0)*1000</f>
        <v>449709.83080580318</v>
      </c>
      <c r="C6">
        <f ca="1">OFFSET(battery!$C$15,(ROW(C5)-1)*5,0)*1000</f>
        <v>142362.73941461253</v>
      </c>
      <c r="D6">
        <f ca="1">OFFSET(Solar!$C$11,(ROW(D5)-1)*5,0)*1000</f>
        <v>371518.84230403125</v>
      </c>
      <c r="E6">
        <f ca="1">OFFSET(Solar!$F$11,(ROW(Solar!E5)-1)*5,0)*1000</f>
        <v>371597.40062988061</v>
      </c>
      <c r="F6">
        <f ca="1">OFFSET(gas!$C$18,(ROW(gas!C5)-1)*5,0)*1000</f>
        <v>314962.83509030374</v>
      </c>
      <c r="G6">
        <f>ccs!$H$6*ccs!B24</f>
        <v>164.8950500244635</v>
      </c>
      <c r="H6">
        <f ca="1">OFFSET(gas!$F$18,(ROW(gas!E5)-1)*5,0)*1000</f>
        <v>348074.4065429882</v>
      </c>
      <c r="I6">
        <f>ccs!$H$6*ccs!B24</f>
        <v>164.8950500244635</v>
      </c>
      <c r="J6">
        <f ca="1">OFFSET(land!$C$12,(ROW(J5)-1)*5,0)*1000</f>
        <v>880072.14726822276</v>
      </c>
      <c r="K6">
        <f ca="1">OFFSET(offshore!$K$13,(ROW(K5)-1)*5,0)*1000</f>
        <v>2075879.4719771212</v>
      </c>
      <c r="L6">
        <f ca="1">OFFSET(coal!$C$20,(ROW(L5)-1)*5,0)*1000</f>
        <v>550665.03308012744</v>
      </c>
      <c r="M6">
        <f>ccs!$C$6*ccs!B24</f>
        <v>172.07299163524502</v>
      </c>
      <c r="N6">
        <f ca="1">OFFSET(coal!$F$20,(ROW(N5)-1)*5,0)*1000</f>
        <v>1051344.8815335608</v>
      </c>
      <c r="O6">
        <f>ccs!$F$6*ccs!B24</f>
        <v>130.60087677147021</v>
      </c>
      <c r="P6">
        <f ca="1">OFFSET(nuclear!$B$8,(ROW(P5)-1)*5,0)*1000</f>
        <v>1879782.7212859497</v>
      </c>
      <c r="Q6">
        <f t="shared" si="0"/>
        <v>918307.69230769225</v>
      </c>
      <c r="R6">
        <f t="shared" si="1"/>
        <v>2240153.8461538497</v>
      </c>
      <c r="S6">
        <f>SMR!T6</f>
        <v>468765.3364050269</v>
      </c>
      <c r="T6">
        <f>ccs!$J$6*ccs!B24</f>
        <v>42.909919138641271</v>
      </c>
      <c r="U6">
        <f>SMR!V6</f>
        <v>2894835.8985402733</v>
      </c>
      <c r="V6">
        <f>ccs!$J$6*ccs!B24</f>
        <v>42.909919138641271</v>
      </c>
      <c r="W6">
        <v>1245090</v>
      </c>
      <c r="X6">
        <v>1562022.0000000002</v>
      </c>
      <c r="Y6">
        <f ca="1">OFFSET('H2 turbine'!$B$12,(ROW(Z5)-1)*5,0)*1000</f>
        <v>308333.33333333331</v>
      </c>
      <c r="Z6">
        <f>'hydrogen storage'!B13</f>
        <v>32825.1</v>
      </c>
      <c r="AA6">
        <f>'hydrogen storage'!D13</f>
        <v>1811.04</v>
      </c>
      <c r="AB6">
        <f>1.93*1.1*1.0928</f>
        <v>2.3200144000000003</v>
      </c>
      <c r="AC6">
        <f t="shared" si="2"/>
        <v>4.6400288000000005</v>
      </c>
      <c r="AD6">
        <f t="shared" ref="AD6:AD8" si="3">3.18*1.1*1.0928</f>
        <v>3.8226144000000009</v>
      </c>
      <c r="AE6">
        <f>DAC!B23</f>
        <v>271.34589041095893</v>
      </c>
    </row>
    <row r="7" spans="1:31" x14ac:dyDescent="0.25">
      <c r="A7">
        <v>2045</v>
      </c>
      <c r="B7">
        <f ca="1">OFFSET(battery!$F$15,(ROW(B6)-1)*5,0)*1000</f>
        <v>431425.30164641637</v>
      </c>
      <c r="C7">
        <f ca="1">OFFSET(battery!$C$15,(ROW(C6)-1)*5,0)*1000</f>
        <v>126754.16823848918</v>
      </c>
      <c r="D7">
        <f ca="1">OFFSET(Solar!$C$11,(ROW(D6)-1)*5,0)*1000</f>
        <v>339613.21127092832</v>
      </c>
      <c r="E7">
        <f ca="1">OFFSET(Solar!$F$11,(ROW(Solar!E6)-1)*5,0)*1000</f>
        <v>331745.43130419438</v>
      </c>
      <c r="F7">
        <f ca="1">OFFSET(gas!$C$18,(ROW(gas!C6)-1)*5,0)*1000</f>
        <v>300458.2086574905</v>
      </c>
      <c r="G7">
        <f>ccs!$H$6*ccs!B25</f>
        <v>160.96897740483342</v>
      </c>
      <c r="H7">
        <f ca="1">OFFSET(gas!$F$18,(ROW(gas!E6)-1)*5,0)*1000</f>
        <v>333130.24597584741</v>
      </c>
      <c r="I7">
        <f>ccs!$H$6*ccs!B25</f>
        <v>160.96897740483342</v>
      </c>
      <c r="J7">
        <f ca="1">OFFSET(land!$C$12,(ROW(J6)-1)*5,0)*1000</f>
        <v>832012.10938362509</v>
      </c>
      <c r="K7">
        <f ca="1">OFFSET(offshore!$K$13,(ROW(K6)-1)*5,0)*1000</f>
        <v>2004930.7310270788</v>
      </c>
      <c r="L7">
        <f ca="1">OFFSET(coal!$C$20,(ROW(L6)-1)*5,0)*1000</f>
        <v>522948.7493638437</v>
      </c>
      <c r="M7">
        <f>ccs!$C$6*ccs!B25</f>
        <v>167.97601564392963</v>
      </c>
      <c r="N7">
        <f ca="1">OFFSET(coal!$F$20,(ROW(N6)-1)*5,0)*1000</f>
        <v>1040624.4321716022</v>
      </c>
      <c r="O7">
        <f>ccs!$F$6*ccs!B25</f>
        <v>127.49133208643519</v>
      </c>
      <c r="P7">
        <f ca="1">OFFSET(nuclear!$B$8,(ROW(P6)-1)*5,0)*1000</f>
        <v>1815208.0930648863</v>
      </c>
      <c r="Q7">
        <f t="shared" si="0"/>
        <v>918307.69230769225</v>
      </c>
      <c r="R7">
        <f t="shared" si="1"/>
        <v>2240153.8461538497</v>
      </c>
      <c r="S7">
        <f>SMR!T7</f>
        <v>447177.81771490118</v>
      </c>
      <c r="T7">
        <f>ccs!$J$6*ccs!B25</f>
        <v>41.888254397245049</v>
      </c>
      <c r="U7">
        <f>SMR!V7</f>
        <v>2749131.9074456538</v>
      </c>
      <c r="V7">
        <f>ccs!$J$6*ccs!B25</f>
        <v>41.888254397245049</v>
      </c>
      <c r="W7">
        <v>1245090</v>
      </c>
      <c r="X7">
        <v>1562022.0000000002</v>
      </c>
      <c r="Y7">
        <f ca="1">OFFSET('H2 turbine'!$B$12,(ROW(Z6)-1)*5,0)*1000</f>
        <v>306722.22222222225</v>
      </c>
      <c r="Z7">
        <f>'hydrogen storage'!B14</f>
        <v>28863.449999999997</v>
      </c>
      <c r="AA7">
        <f>'hydrogen storage'!D14</f>
        <v>1629.9359999999999</v>
      </c>
      <c r="AB7">
        <f t="shared" ref="AB7:AB8" si="4">1.93*1.1*1.0928</f>
        <v>2.3200144000000003</v>
      </c>
      <c r="AC7">
        <f t="shared" si="2"/>
        <v>4.6400288000000005</v>
      </c>
      <c r="AD7">
        <f t="shared" si="3"/>
        <v>3.8226144000000009</v>
      </c>
      <c r="AE7">
        <f>DAC!B24</f>
        <v>251.96404109589042</v>
      </c>
    </row>
    <row r="8" spans="1:31" x14ac:dyDescent="0.25">
      <c r="A8">
        <v>2050</v>
      </c>
      <c r="B8">
        <f ca="1">OFFSET(battery!$F$15,(ROW(B7)-1)*5,0)*1000</f>
        <v>412034.80642593093</v>
      </c>
      <c r="C8">
        <f ca="1">OFFSET(battery!$C$15,(ROW(C7)-1)*5,0)*1000</f>
        <v>111278.95707392975</v>
      </c>
      <c r="D8">
        <f ca="1">OFFSET(Solar!$C$11,(ROW(D7)-1)*5,0)*1000</f>
        <v>307707.58023782534</v>
      </c>
      <c r="E8">
        <f ca="1">OFFSET(Solar!$F$11,(ROW(Solar!E7)-1)*5,0)*1000</f>
        <v>291893.46197850793</v>
      </c>
      <c r="F8">
        <f ca="1">OFFSET(gas!$C$18,(ROW(gas!C7)-1)*5,0)*1000</f>
        <v>285953.58222467743</v>
      </c>
      <c r="G8">
        <f>ccs!$H$6*ccs!B26</f>
        <v>157.04290478520332</v>
      </c>
      <c r="H8">
        <f ca="1">OFFSET(gas!$F$18,(ROW(gas!E7)-1)*5,0)*1000</f>
        <v>318222.71325323387</v>
      </c>
      <c r="I8">
        <f>ccs!$H$6*ccs!B26</f>
        <v>157.04290478520332</v>
      </c>
      <c r="J8">
        <f ca="1">OFFSET(land!$C$12,(ROW(J7)-1)*5,0)*1000</f>
        <v>783952.07149902824</v>
      </c>
      <c r="K8">
        <f ca="1">OFFSET(offshore!$K$13,(ROW(K7)-1)*5,0)*1000</f>
        <v>1946500.3253128789</v>
      </c>
      <c r="L8">
        <f ca="1">OFFSET(coal!$C$20,(ROW(L7)-1)*5,0)*1000</f>
        <v>495210.67611633649</v>
      </c>
      <c r="M8">
        <f>ccs!$C$6*ccs!B26</f>
        <v>163.87903965261427</v>
      </c>
      <c r="N8">
        <f ca="1">OFFSET(coal!$F$20,(ROW(N7)-1)*5,0)*1000</f>
        <v>1029882.1932784199</v>
      </c>
      <c r="O8">
        <f>ccs!$F$6*ccs!B26</f>
        <v>124.38178740140019</v>
      </c>
      <c r="P8">
        <f ca="1">OFFSET(nuclear!$B$8,(ROW(P7)-1)*5,0)*1000</f>
        <v>1738729.5618643423</v>
      </c>
      <c r="Q8">
        <f t="shared" si="0"/>
        <v>918307.69230769225</v>
      </c>
      <c r="R8">
        <f t="shared" si="1"/>
        <v>2240153.8461538497</v>
      </c>
      <c r="S8">
        <f>SMR!T8</f>
        <v>425590.29902477557</v>
      </c>
      <c r="T8">
        <f>ccs!$J$6*ccs!B26</f>
        <v>40.866589655848827</v>
      </c>
      <c r="U8">
        <f>SMR!V8</f>
        <v>2603313.369188224</v>
      </c>
      <c r="V8">
        <f>ccs!$J$6*ccs!B26</f>
        <v>40.866589655848827</v>
      </c>
      <c r="W8">
        <v>1245090</v>
      </c>
      <c r="X8">
        <v>1562022.0000000002</v>
      </c>
      <c r="Y8">
        <f ca="1">OFFSET('H2 turbine'!$B$12,(ROW(Z7)-1)*5,0)*1000</f>
        <v>305111.11111111112</v>
      </c>
      <c r="Z8">
        <f>'hydrogen storage'!B15</f>
        <v>24901.8</v>
      </c>
      <c r="AA8">
        <f>'hydrogen storage'!D15</f>
        <v>1448.8319999999999</v>
      </c>
      <c r="AB8">
        <f t="shared" si="4"/>
        <v>2.3200144000000003</v>
      </c>
      <c r="AC8">
        <f t="shared" si="2"/>
        <v>4.6400288000000005</v>
      </c>
      <c r="AD8">
        <f t="shared" si="3"/>
        <v>3.8226144000000009</v>
      </c>
      <c r="AE8">
        <f>DAC!B25</f>
        <v>232.58219178082189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workbookViewId="0">
      <selection activeCell="Z3" sqref="Z3:Z8"/>
    </sheetView>
  </sheetViews>
  <sheetFormatPr defaultRowHeight="15" x14ac:dyDescent="0.25"/>
  <sheetData>
    <row r="1" spans="1:31" x14ac:dyDescent="0.25">
      <c r="A1" t="s">
        <v>1</v>
      </c>
      <c r="B1" t="s">
        <v>2</v>
      </c>
      <c r="C1" t="s">
        <v>33</v>
      </c>
      <c r="D1" t="s">
        <v>3</v>
      </c>
      <c r="E1" t="s">
        <v>4</v>
      </c>
      <c r="F1" t="s">
        <v>41</v>
      </c>
      <c r="G1" t="s">
        <v>115</v>
      </c>
      <c r="H1" t="s">
        <v>42</v>
      </c>
      <c r="I1" t="s">
        <v>114</v>
      </c>
      <c r="J1" t="s">
        <v>0</v>
      </c>
      <c r="K1" t="s">
        <v>5</v>
      </c>
      <c r="L1" t="s">
        <v>43</v>
      </c>
      <c r="M1" t="s">
        <v>85</v>
      </c>
      <c r="N1" t="s">
        <v>44</v>
      </c>
      <c r="O1" t="s">
        <v>86</v>
      </c>
      <c r="P1" t="s">
        <v>45</v>
      </c>
      <c r="Q1" t="s">
        <v>31</v>
      </c>
      <c r="R1" t="s">
        <v>32</v>
      </c>
      <c r="S1" t="s">
        <v>73</v>
      </c>
      <c r="T1" t="s">
        <v>87</v>
      </c>
      <c r="U1" t="s">
        <v>74</v>
      </c>
      <c r="V1" t="s">
        <v>88</v>
      </c>
      <c r="W1" t="s">
        <v>69</v>
      </c>
      <c r="X1" t="s">
        <v>53</v>
      </c>
      <c r="Y1" t="s">
        <v>46</v>
      </c>
      <c r="Z1" t="s">
        <v>52</v>
      </c>
      <c r="AA1" t="s">
        <v>68</v>
      </c>
      <c r="AB1" t="s">
        <v>82</v>
      </c>
      <c r="AC1" t="s">
        <v>83</v>
      </c>
      <c r="AD1" t="s">
        <v>84</v>
      </c>
      <c r="AE1" t="s">
        <v>124</v>
      </c>
    </row>
    <row r="2" spans="1:31" x14ac:dyDescent="0.25">
      <c r="A2">
        <v>2020</v>
      </c>
      <c r="B2">
        <f ca="1">OFFSET(battery!$F$15,(ROW(B1)-1)*5,0)*1000</f>
        <v>492307.69230769231</v>
      </c>
      <c r="C2">
        <f ca="1">OFFSET(battery!$C$15,(ROW(C1)-1)*5,0)*1000</f>
        <v>246153.84615384619</v>
      </c>
      <c r="D2">
        <f ca="1">OFFSET(Solar!$C$11,(ROW(D1)-1)*5,0)*1000</f>
        <v>628000</v>
      </c>
      <c r="E2">
        <f ca="1">OFFSET(Solar!$F$11,(ROW(Solar!E1)-1)*5,0)*1000</f>
        <v>746000</v>
      </c>
      <c r="F2">
        <f ca="1">OFFSET(gas!$C$18,(ROW(gas!C1)-1)*5,0)*1000</f>
        <v>367230.76923076925</v>
      </c>
      <c r="G2">
        <f>ccs!$H$6*ccs!B20</f>
        <v>337.64224528818715</v>
      </c>
      <c r="H2">
        <f ca="1">OFFSET(gas!$F$18,(ROW(gas!E1)-1)*5,0)*1000</f>
        <v>408913.25630284339</v>
      </c>
      <c r="I2">
        <f>ccs!$H$6*ccs!B20</f>
        <v>337.64224528818715</v>
      </c>
      <c r="J2">
        <f ca="1">OFFSET(land!$C$12,(ROW(J1)-1)*5,0)*1000</f>
        <v>1157000</v>
      </c>
      <c r="K2">
        <f ca="1">OFFSET(offshore!$K$13,(ROW(K1)-1)*5,0)*1000</f>
        <v>2857000</v>
      </c>
      <c r="L2">
        <f ca="1">OFFSET(coal!$C$20,(ROW(L1)-1)*5,0)*1000</f>
        <v>622461.5384615385</v>
      </c>
      <c r="M2">
        <f>ccs!$C$6*ccs!B20</f>
        <v>352.3399352531207</v>
      </c>
      <c r="N2">
        <f ca="1">OFFSET(coal!$F$20,(ROW(N1)-1)*5,0)*1000</f>
        <v>1089999.5099240381</v>
      </c>
      <c r="O2">
        <f>ccs!$F$6*ccs!B20</f>
        <v>267.4208429130104</v>
      </c>
      <c r="P2">
        <f ca="1">OFFSET(nuclear!$B$8,(ROW(P1)-1)*5,0)*1000</f>
        <v>2461538.4615384615</v>
      </c>
      <c r="Q2">
        <f>5969/6.5*1000</f>
        <v>918307.69230769225</v>
      </c>
      <c r="R2">
        <f>2240.15384615385*1000</f>
        <v>2240153.8461538497</v>
      </c>
      <c r="S2">
        <f>SMR!T2</f>
        <v>546556.72319999989</v>
      </c>
      <c r="T2">
        <f>ccs!$J$6*ccs!B20</f>
        <v>87.863167760074973</v>
      </c>
      <c r="U2">
        <f>SMR!V2</f>
        <v>3272268.8</v>
      </c>
      <c r="V2">
        <f>ccs!$J$6*ccs!B20</f>
        <v>87.863167760074973</v>
      </c>
      <c r="W2">
        <f ca="1">OFFSET(Electrolyzer!$C$2,(ROW(W1)-1)*5,0)*1000</f>
        <v>1245090</v>
      </c>
      <c r="X2">
        <f>'Fuel cell'!C2*1000</f>
        <v>1562022.0000000002</v>
      </c>
      <c r="Y2">
        <f ca="1">OFFSET('H2 turbine'!$B$12,(ROW(Z1)-1)*5,0)*1000</f>
        <v>314777.77777777775</v>
      </c>
      <c r="Z2">
        <f>'hydrogen storage'!B9</f>
        <v>69045.899999999994</v>
      </c>
      <c r="AA2">
        <f>'hydrogen storage'!D9</f>
        <v>3610.7609999999995</v>
      </c>
      <c r="AB2">
        <f>2.36*1.1*1.0928</f>
        <v>2.8369088000000002</v>
      </c>
      <c r="AC2">
        <f>AB2*2</f>
        <v>5.6738176000000005</v>
      </c>
      <c r="AD2">
        <f>3.89*1.1*1.0928</f>
        <v>4.676091200000001</v>
      </c>
      <c r="AE2">
        <f>DAC!B19</f>
        <v>839.8801369863013</v>
      </c>
    </row>
    <row r="3" spans="1:31" x14ac:dyDescent="0.25">
      <c r="A3">
        <v>2025</v>
      </c>
      <c r="B3">
        <f ca="1">OFFSET(battery!$F$15,(ROW(B2)-1)*5,0)*1000</f>
        <v>474606.98277086945</v>
      </c>
      <c r="C3">
        <f ca="1">OFFSET(battery!$C$15,(ROW(C2)-1)*5,0)*1000</f>
        <v>219340.5647717136</v>
      </c>
      <c r="D3">
        <f ca="1">OFFSET(Solar!$C$11,(ROW(D2)-1)*5,0)*1000</f>
        <v>607009.57568009151</v>
      </c>
      <c r="E3">
        <f ca="1">OFFSET(Solar!$F$11,(ROW(Solar!E2)-1)*5,0)*1000</f>
        <v>686543.82764240284</v>
      </c>
      <c r="F3">
        <f ca="1">OFFSET(gas!$C$18,(ROW(gas!C2)-1)*5,0)*1000</f>
        <v>358513.34223327041</v>
      </c>
      <c r="G3">
        <f>ccs!$H$6*ccs!B21</f>
        <v>235.56435717780499</v>
      </c>
      <c r="H3">
        <f ca="1">OFFSET(gas!$F$18,(ROW(gas!E2)-1)*5,0)*1000</f>
        <v>398327.80923445197</v>
      </c>
      <c r="I3">
        <f>ccs!$H$6*ccs!B21</f>
        <v>235.56435717780499</v>
      </c>
      <c r="J3">
        <f ca="1">OFFSET(land!$C$12,(ROW(J2)-1)*5,0)*1000</f>
        <v>1076640.9880166219</v>
      </c>
      <c r="K3">
        <f ca="1">OFFSET(offshore!$K$13,(ROW(K2)-1)*5,0)*1000</f>
        <v>2492043.9563389542</v>
      </c>
      <c r="L3">
        <f ca="1">OFFSET(coal!$C$20,(ROW(L2)-1)*5,0)*1000</f>
        <v>612285.82738016697</v>
      </c>
      <c r="M3">
        <f>ccs!$C$6*ccs!B21</f>
        <v>245.81855947892143</v>
      </c>
      <c r="N3">
        <f ca="1">OFFSET(coal!$F$20,(ROW(N2)-1)*5,0)*1000</f>
        <v>1083549.8086818843</v>
      </c>
      <c r="O3">
        <f>ccs!$F$6*ccs!B21</f>
        <v>186.57268110210029</v>
      </c>
      <c r="P3">
        <f ca="1">OFFSET(nuclear!$B$8,(ROW(P2)-1)*5,0)*1000</f>
        <v>2113664.33502365</v>
      </c>
      <c r="Q3">
        <f t="shared" ref="Q3:Q8" si="0">5969/6.5*1000</f>
        <v>918307.69230769225</v>
      </c>
      <c r="R3">
        <f t="shared" ref="R3:R8" si="1">2240.15384615385*1000</f>
        <v>2240153.8461538497</v>
      </c>
      <c r="S3">
        <f>SMR!T3</f>
        <v>533582.40641149005</v>
      </c>
      <c r="T3">
        <f>ccs!$J$6*ccs!B21</f>
        <v>61.299884483773241</v>
      </c>
      <c r="U3">
        <f>SMR!V3</f>
        <v>3218775.2749676201</v>
      </c>
      <c r="V3">
        <f>ccs!$J$6*ccs!B21</f>
        <v>61.299884483773241</v>
      </c>
      <c r="W3">
        <v>1245090</v>
      </c>
      <c r="X3">
        <v>1562022.0000000002</v>
      </c>
      <c r="Y3">
        <f ca="1">OFFSET('H2 turbine'!$B$12,(ROW(Z2)-1)*5,0)*1000</f>
        <v>313166.66666666669</v>
      </c>
      <c r="Z3">
        <v>69045.899999999994</v>
      </c>
      <c r="AA3">
        <f>'hydrogen storage'!D10</f>
        <v>3010.8539999999994</v>
      </c>
      <c r="AB3">
        <f>2.25*1.1*1.0928</f>
        <v>2.7046800000000002</v>
      </c>
      <c r="AC3">
        <f t="shared" ref="AC3:AC8" si="2">AB3*2</f>
        <v>5.4093600000000004</v>
      </c>
      <c r="AD3">
        <f>3.7*1.1*1.0928</f>
        <v>4.4476960000000005</v>
      </c>
      <c r="AE3">
        <f>DAC!B20</f>
        <v>620.21917808219177</v>
      </c>
    </row>
    <row r="4" spans="1:31" x14ac:dyDescent="0.25">
      <c r="A4">
        <v>2030</v>
      </c>
      <c r="B4">
        <f ca="1">OFFSET(battery!$F$15,(ROW(B3)-1)*5,0)*1000</f>
        <v>483790.42077117879</v>
      </c>
      <c r="C4">
        <f ca="1">OFFSET(battery!$C$15,(ROW(C3)-1)*5,0)*1000</f>
        <v>173879.94718483053</v>
      </c>
      <c r="D4">
        <f ca="1">OFFSET(Solar!$C$11,(ROW(D3)-1)*5,0)*1000</f>
        <v>505217.02450861299</v>
      </c>
      <c r="E4">
        <f ca="1">OFFSET(Solar!$F$11,(ROW(Solar!E3)-1)*5,0)*1000</f>
        <v>548996.59879898466</v>
      </c>
      <c r="F4">
        <f ca="1">OFFSET(gas!$C$18,(ROW(gas!C3)-1)*5,0)*1000</f>
        <v>344008.71580045728</v>
      </c>
      <c r="G4">
        <f>ccs!$H$6*ccs!B22</f>
        <v>196.30363098150417</v>
      </c>
      <c r="H4">
        <f ca="1">OFFSET(gas!$F$18,(ROW(gas!E3)-1)*5,0)*1000</f>
        <v>380673.18817229051</v>
      </c>
      <c r="I4">
        <f>ccs!$H$6*ccs!B22</f>
        <v>196.30363098150417</v>
      </c>
      <c r="J4">
        <f ca="1">OFFSET(land!$C$12,(ROW(J3)-1)*5,0)*1000</f>
        <v>976192.22303741041</v>
      </c>
      <c r="K4">
        <f ca="1">OFFSET(offshore!$K$13,(ROW(K3)-1)*5,0)*1000</f>
        <v>2290687.2747561219</v>
      </c>
      <c r="L4">
        <f ca="1">OFFSET(coal!$C$20,(ROW(L3)-1)*5,0)*1000</f>
        <v>595355.36161951255</v>
      </c>
      <c r="M4">
        <f>ccs!$C$6*ccs!B22</f>
        <v>204.84879956576785</v>
      </c>
      <c r="N4">
        <f ca="1">OFFSET(coal!$F$20,(ROW(N3)-1)*5,0)*1000</f>
        <v>1072807.5697887018</v>
      </c>
      <c r="O4">
        <f>ccs!$F$6*ccs!B22</f>
        <v>155.47723425175025</v>
      </c>
      <c r="P4">
        <f ca="1">OFFSET(nuclear!$B$8,(ROW(P3)-1)*5,0)*1000</f>
        <v>2015507.9702320395</v>
      </c>
      <c r="Q4">
        <f t="shared" si="0"/>
        <v>918307.69230769225</v>
      </c>
      <c r="R4">
        <f t="shared" si="1"/>
        <v>2240153.8461538497</v>
      </c>
      <c r="S4">
        <f>SMR!T4</f>
        <v>511994.88772136444</v>
      </c>
      <c r="T4">
        <f>ccs!$J$6*ccs!B22</f>
        <v>51.083237069811034</v>
      </c>
      <c r="U4">
        <f>SMR!V4</f>
        <v>3129772.1294640666</v>
      </c>
      <c r="V4">
        <f>ccs!$J$6*ccs!B22</f>
        <v>51.083237069811034</v>
      </c>
      <c r="W4">
        <v>1245090</v>
      </c>
      <c r="X4">
        <v>1562022.0000000002</v>
      </c>
      <c r="Y4">
        <f ca="1">OFFSET('H2 turbine'!$B$12,(ROW(Z3)-1)*5,0)*1000</f>
        <v>311555.55555555556</v>
      </c>
      <c r="Z4">
        <v>69045.899999999994</v>
      </c>
      <c r="AA4">
        <f>'hydrogen storage'!D11</f>
        <v>2410.9469999999997</v>
      </c>
      <c r="AB4">
        <f>2.14*1.1*1.0928</f>
        <v>2.5724512000000006</v>
      </c>
      <c r="AC4">
        <f t="shared" si="2"/>
        <v>5.1449024000000012</v>
      </c>
      <c r="AD4">
        <f>3.52*1.1*1.0928</f>
        <v>4.2313216000000002</v>
      </c>
      <c r="AE4">
        <f>DAC!B21</f>
        <v>387.6369863013698</v>
      </c>
    </row>
    <row r="5" spans="1:31" x14ac:dyDescent="0.25">
      <c r="A5">
        <v>2035</v>
      </c>
      <c r="B5">
        <f ca="1">OFFSET(battery!$F$15,(ROW(B4)-1)*5,0)*1000</f>
        <v>467109.57439716003</v>
      </c>
      <c r="C5">
        <f ca="1">OFFSET(battery!$C$15,(ROW(C4)-1)*5,0)*1000</f>
        <v>158078.00013369246</v>
      </c>
      <c r="D5">
        <f ca="1">OFFSET(Solar!$C$11,(ROW(D4)-1)*5,0)*1000</f>
        <v>403424.47333713423</v>
      </c>
      <c r="E5">
        <f ca="1">OFFSET(Solar!$F$11,(ROW(Solar!E4)-1)*5,0)*1000</f>
        <v>411449.36995556689</v>
      </c>
      <c r="F5">
        <f ca="1">OFFSET(gas!$C$18,(ROW(gas!C4)-1)*5,0)*1000</f>
        <v>329504.08936764416</v>
      </c>
      <c r="G5">
        <f>ccs!$H$6*ccs!B23</f>
        <v>180.59934050298384</v>
      </c>
      <c r="H5">
        <f ca="1">OFFSET(gas!$F$18,(ROW(gas!E4)-1)*5,0)*1000</f>
        <v>363018.56711012905</v>
      </c>
      <c r="I5">
        <f>ccs!$H$6*ccs!B23</f>
        <v>180.59934050298384</v>
      </c>
      <c r="J5">
        <f ca="1">OFFSET(land!$C$12,(ROW(J4)-1)*5,0)*1000</f>
        <v>928132.1851528117</v>
      </c>
      <c r="K5">
        <f ca="1">OFFSET(offshore!$K$13,(ROW(K4)-1)*5,0)*1000</f>
        <v>2166215.1199255665</v>
      </c>
      <c r="L5">
        <f ca="1">OFFSET(coal!$C$20,(ROW(L4)-1)*5,0)*1000</f>
        <v>578403.10632763465</v>
      </c>
      <c r="M5">
        <f>ccs!$C$6*ccs!B23</f>
        <v>188.46089560050643</v>
      </c>
      <c r="N5">
        <f ca="1">OFFSET(coal!$F$20,(ROW(N4)-1)*5,0)*1000</f>
        <v>1062087.1204267431</v>
      </c>
      <c r="O5">
        <f>ccs!$F$6*ccs!B23</f>
        <v>143.03905551161023</v>
      </c>
      <c r="P5">
        <f ca="1">OFFSET(nuclear!$B$8,(ROW(P4)-1)*5,0)*1000</f>
        <v>1948571.2220878473</v>
      </c>
      <c r="Q5">
        <f t="shared" si="0"/>
        <v>918307.69230769225</v>
      </c>
      <c r="R5">
        <f t="shared" si="1"/>
        <v>2240153.8461538497</v>
      </c>
      <c r="S5">
        <f>SMR!T5</f>
        <v>490407.36903123878</v>
      </c>
      <c r="T5">
        <f>ccs!$J$6*ccs!B23</f>
        <v>46.996578104226153</v>
      </c>
      <c r="U5">
        <f>SMR!V5</f>
        <v>3040654.4367977036</v>
      </c>
      <c r="V5">
        <f>ccs!$J$6*ccs!B23</f>
        <v>46.996578104226153</v>
      </c>
      <c r="W5">
        <v>1245090</v>
      </c>
      <c r="X5">
        <v>1562022.0000000002</v>
      </c>
      <c r="Y5">
        <f ca="1">OFFSET('H2 turbine'!$B$12,(ROW(Z4)-1)*5,0)*1000</f>
        <v>309944.44444444444</v>
      </c>
      <c r="Z5">
        <v>69045.899999999994</v>
      </c>
      <c r="AA5">
        <f>'hydrogen storage'!D12</f>
        <v>2110.9934999999996</v>
      </c>
      <c r="AB5">
        <f>(AB4+AB6)/2</f>
        <v>2.4462328000000007</v>
      </c>
      <c r="AC5">
        <f t="shared" si="2"/>
        <v>4.8924656000000013</v>
      </c>
      <c r="AD5">
        <f>(AD4+AD6)/2</f>
        <v>4.0269680000000001</v>
      </c>
      <c r="AE5">
        <f>DAC!B22</f>
        <v>329.49143835616439</v>
      </c>
    </row>
    <row r="6" spans="1:31" x14ac:dyDescent="0.25">
      <c r="A6">
        <v>2040</v>
      </c>
      <c r="B6">
        <f ca="1">OFFSET(battery!$F$15,(ROW(B5)-1)*5,0)*1000</f>
        <v>449709.83080580318</v>
      </c>
      <c r="C6">
        <f ca="1">OFFSET(battery!$C$15,(ROW(C5)-1)*5,0)*1000</f>
        <v>142362.73941461253</v>
      </c>
      <c r="D6">
        <f ca="1">OFFSET(Solar!$C$11,(ROW(D5)-1)*5,0)*1000</f>
        <v>371518.84230403125</v>
      </c>
      <c r="E6">
        <f ca="1">OFFSET(Solar!$F$11,(ROW(Solar!E5)-1)*5,0)*1000</f>
        <v>371597.40062988061</v>
      </c>
      <c r="F6">
        <f ca="1">OFFSET(gas!$C$18,(ROW(gas!C5)-1)*5,0)*1000</f>
        <v>314962.83509030374</v>
      </c>
      <c r="G6">
        <f>ccs!$H$6*ccs!B24</f>
        <v>164.8950500244635</v>
      </c>
      <c r="H6">
        <f ca="1">OFFSET(gas!$F$18,(ROW(gas!E5)-1)*5,0)*1000</f>
        <v>348074.4065429882</v>
      </c>
      <c r="I6">
        <f>ccs!$H$6*ccs!B24</f>
        <v>164.8950500244635</v>
      </c>
      <c r="J6">
        <f ca="1">OFFSET(land!$C$12,(ROW(J5)-1)*5,0)*1000</f>
        <v>880072.14726822276</v>
      </c>
      <c r="K6">
        <f ca="1">OFFSET(offshore!$K$13,(ROW(K5)-1)*5,0)*1000</f>
        <v>2075879.4719771212</v>
      </c>
      <c r="L6">
        <f ca="1">OFFSET(coal!$C$20,(ROW(L5)-1)*5,0)*1000</f>
        <v>550665.03308012744</v>
      </c>
      <c r="M6">
        <f>ccs!$C$6*ccs!B24</f>
        <v>172.07299163524502</v>
      </c>
      <c r="N6">
        <f ca="1">OFFSET(coal!$F$20,(ROW(N5)-1)*5,0)*1000</f>
        <v>1051344.8815335608</v>
      </c>
      <c r="O6">
        <f>ccs!$F$6*ccs!B24</f>
        <v>130.60087677147021</v>
      </c>
      <c r="P6">
        <f ca="1">OFFSET(nuclear!$B$8,(ROW(P5)-1)*5,0)*1000</f>
        <v>1879782.7212859497</v>
      </c>
      <c r="Q6">
        <f t="shared" si="0"/>
        <v>918307.69230769225</v>
      </c>
      <c r="R6">
        <f t="shared" si="1"/>
        <v>2240153.8461538497</v>
      </c>
      <c r="S6">
        <f>SMR!T6</f>
        <v>468765.3364050269</v>
      </c>
      <c r="T6">
        <f>ccs!$J$6*ccs!B24</f>
        <v>42.909919138641271</v>
      </c>
      <c r="U6">
        <f>SMR!V6</f>
        <v>2894835.8985402733</v>
      </c>
      <c r="V6">
        <f>ccs!$J$6*ccs!B24</f>
        <v>42.909919138641271</v>
      </c>
      <c r="W6">
        <v>1245090</v>
      </c>
      <c r="X6">
        <v>1562022.0000000002</v>
      </c>
      <c r="Y6">
        <f ca="1">OFFSET('H2 turbine'!$B$12,(ROW(Z5)-1)*5,0)*1000</f>
        <v>308333.33333333331</v>
      </c>
      <c r="Z6">
        <v>69045.899999999994</v>
      </c>
      <c r="AA6">
        <f>'hydrogen storage'!D13</f>
        <v>1811.04</v>
      </c>
      <c r="AB6">
        <f>1.93*1.1*1.0928</f>
        <v>2.3200144000000003</v>
      </c>
      <c r="AC6">
        <f t="shared" si="2"/>
        <v>4.6400288000000005</v>
      </c>
      <c r="AD6">
        <f t="shared" ref="AD6:AD8" si="3">3.18*1.1*1.0928</f>
        <v>3.8226144000000009</v>
      </c>
      <c r="AE6">
        <f>DAC!B23</f>
        <v>271.34589041095893</v>
      </c>
    </row>
    <row r="7" spans="1:31" x14ac:dyDescent="0.25">
      <c r="A7">
        <v>2045</v>
      </c>
      <c r="B7">
        <f ca="1">OFFSET(battery!$F$15,(ROW(B6)-1)*5,0)*1000</f>
        <v>431425.30164641637</v>
      </c>
      <c r="C7">
        <f ca="1">OFFSET(battery!$C$15,(ROW(C6)-1)*5,0)*1000</f>
        <v>126754.16823848918</v>
      </c>
      <c r="D7">
        <f ca="1">OFFSET(Solar!$C$11,(ROW(D6)-1)*5,0)*1000</f>
        <v>339613.21127092832</v>
      </c>
      <c r="E7">
        <f ca="1">OFFSET(Solar!$F$11,(ROW(Solar!E6)-1)*5,0)*1000</f>
        <v>331745.43130419438</v>
      </c>
      <c r="F7">
        <f ca="1">OFFSET(gas!$C$18,(ROW(gas!C6)-1)*5,0)*1000</f>
        <v>300458.2086574905</v>
      </c>
      <c r="G7">
        <f>ccs!$H$6*ccs!B25</f>
        <v>160.96897740483342</v>
      </c>
      <c r="H7">
        <f ca="1">OFFSET(gas!$F$18,(ROW(gas!E6)-1)*5,0)*1000</f>
        <v>333130.24597584741</v>
      </c>
      <c r="I7">
        <f>ccs!$H$6*ccs!B25</f>
        <v>160.96897740483342</v>
      </c>
      <c r="J7">
        <f ca="1">OFFSET(land!$C$12,(ROW(J6)-1)*5,0)*1000</f>
        <v>832012.10938362509</v>
      </c>
      <c r="K7">
        <f ca="1">OFFSET(offshore!$K$13,(ROW(K6)-1)*5,0)*1000</f>
        <v>2004930.7310270788</v>
      </c>
      <c r="L7">
        <f ca="1">OFFSET(coal!$C$20,(ROW(L6)-1)*5,0)*1000</f>
        <v>522948.7493638437</v>
      </c>
      <c r="M7">
        <f>ccs!$C$6*ccs!B25</f>
        <v>167.97601564392963</v>
      </c>
      <c r="N7">
        <f ca="1">OFFSET(coal!$F$20,(ROW(N6)-1)*5,0)*1000</f>
        <v>1040624.4321716022</v>
      </c>
      <c r="O7">
        <f>ccs!$F$6*ccs!B25</f>
        <v>127.49133208643519</v>
      </c>
      <c r="P7">
        <f ca="1">OFFSET(nuclear!$B$8,(ROW(P6)-1)*5,0)*1000</f>
        <v>1815208.0930648863</v>
      </c>
      <c r="Q7">
        <f t="shared" si="0"/>
        <v>918307.69230769225</v>
      </c>
      <c r="R7">
        <f t="shared" si="1"/>
        <v>2240153.8461538497</v>
      </c>
      <c r="S7">
        <f>SMR!T7</f>
        <v>447177.81771490118</v>
      </c>
      <c r="T7">
        <f>ccs!$J$6*ccs!B25</f>
        <v>41.888254397245049</v>
      </c>
      <c r="U7">
        <f>SMR!V7</f>
        <v>2749131.9074456538</v>
      </c>
      <c r="V7">
        <f>ccs!$J$6*ccs!B25</f>
        <v>41.888254397245049</v>
      </c>
      <c r="W7">
        <v>1245090</v>
      </c>
      <c r="X7">
        <v>1562022.0000000002</v>
      </c>
      <c r="Y7">
        <f ca="1">OFFSET('H2 turbine'!$B$12,(ROW(Z6)-1)*5,0)*1000</f>
        <v>306722.22222222225</v>
      </c>
      <c r="Z7">
        <v>69045.899999999994</v>
      </c>
      <c r="AA7">
        <f>'hydrogen storage'!D14</f>
        <v>1629.9359999999999</v>
      </c>
      <c r="AB7">
        <f t="shared" ref="AB7:AB8" si="4">1.93*1.1*1.0928</f>
        <v>2.3200144000000003</v>
      </c>
      <c r="AC7">
        <f t="shared" si="2"/>
        <v>4.6400288000000005</v>
      </c>
      <c r="AD7">
        <f t="shared" si="3"/>
        <v>3.8226144000000009</v>
      </c>
      <c r="AE7">
        <f>DAC!B24</f>
        <v>251.96404109589042</v>
      </c>
    </row>
    <row r="8" spans="1:31" x14ac:dyDescent="0.25">
      <c r="A8">
        <v>2050</v>
      </c>
      <c r="B8">
        <f ca="1">OFFSET(battery!$F$15,(ROW(B7)-1)*5,0)*1000</f>
        <v>412034.80642593093</v>
      </c>
      <c r="C8">
        <f ca="1">OFFSET(battery!$C$15,(ROW(C7)-1)*5,0)*1000</f>
        <v>111278.95707392975</v>
      </c>
      <c r="D8">
        <f ca="1">OFFSET(Solar!$C$11,(ROW(D7)-1)*5,0)*1000</f>
        <v>307707.58023782534</v>
      </c>
      <c r="E8">
        <f ca="1">OFFSET(Solar!$F$11,(ROW(Solar!E7)-1)*5,0)*1000</f>
        <v>291893.46197850793</v>
      </c>
      <c r="F8">
        <f ca="1">OFFSET(gas!$C$18,(ROW(gas!C7)-1)*5,0)*1000</f>
        <v>285953.58222467743</v>
      </c>
      <c r="G8">
        <f>ccs!$H$6*ccs!B26</f>
        <v>157.04290478520332</v>
      </c>
      <c r="H8">
        <f ca="1">OFFSET(gas!$F$18,(ROW(gas!E7)-1)*5,0)*1000</f>
        <v>318222.71325323387</v>
      </c>
      <c r="I8">
        <f>ccs!$H$6*ccs!B26</f>
        <v>157.04290478520332</v>
      </c>
      <c r="J8">
        <f ca="1">OFFSET(land!$C$12,(ROW(J7)-1)*5,0)*1000</f>
        <v>783952.07149902824</v>
      </c>
      <c r="K8">
        <f ca="1">OFFSET(offshore!$K$13,(ROW(K7)-1)*5,0)*1000</f>
        <v>1946500.3253128789</v>
      </c>
      <c r="L8">
        <f ca="1">OFFSET(coal!$C$20,(ROW(L7)-1)*5,0)*1000</f>
        <v>495210.67611633649</v>
      </c>
      <c r="M8">
        <f>ccs!$C$6*ccs!B26</f>
        <v>163.87903965261427</v>
      </c>
      <c r="N8">
        <f ca="1">OFFSET(coal!$F$20,(ROW(N7)-1)*5,0)*1000</f>
        <v>1029882.1932784199</v>
      </c>
      <c r="O8">
        <f>ccs!$F$6*ccs!B26</f>
        <v>124.38178740140019</v>
      </c>
      <c r="P8">
        <f ca="1">OFFSET(nuclear!$B$8,(ROW(P7)-1)*5,0)*1000</f>
        <v>1738729.5618643423</v>
      </c>
      <c r="Q8">
        <f t="shared" si="0"/>
        <v>918307.69230769225</v>
      </c>
      <c r="R8">
        <f t="shared" si="1"/>
        <v>2240153.8461538497</v>
      </c>
      <c r="S8">
        <f>SMR!T8</f>
        <v>425590.29902477557</v>
      </c>
      <c r="T8">
        <f>ccs!$J$6*ccs!B26</f>
        <v>40.866589655848827</v>
      </c>
      <c r="U8">
        <f>SMR!V8</f>
        <v>2603313.369188224</v>
      </c>
      <c r="V8">
        <f>ccs!$J$6*ccs!B26</f>
        <v>40.866589655848827</v>
      </c>
      <c r="W8">
        <v>1245090</v>
      </c>
      <c r="X8">
        <v>1562022.0000000002</v>
      </c>
      <c r="Y8">
        <f ca="1">OFFSET('H2 turbine'!$B$12,(ROW(Z7)-1)*5,0)*1000</f>
        <v>305111.11111111112</v>
      </c>
      <c r="Z8">
        <v>69045.899999999994</v>
      </c>
      <c r="AA8">
        <f>'hydrogen storage'!D15</f>
        <v>1448.8319999999999</v>
      </c>
      <c r="AB8">
        <f t="shared" si="4"/>
        <v>2.3200144000000003</v>
      </c>
      <c r="AC8">
        <f t="shared" si="2"/>
        <v>4.6400288000000005</v>
      </c>
      <c r="AD8">
        <f t="shared" si="3"/>
        <v>3.8226144000000009</v>
      </c>
      <c r="AE8">
        <f>DAC!B25</f>
        <v>232.58219178082189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opLeftCell="K1" workbookViewId="0">
      <selection activeCell="H12" sqref="H12"/>
    </sheetView>
  </sheetViews>
  <sheetFormatPr defaultRowHeight="15" x14ac:dyDescent="0.25"/>
  <sheetData>
    <row r="1" spans="1:31" x14ac:dyDescent="0.25">
      <c r="A1" t="s">
        <v>1</v>
      </c>
      <c r="B1" t="s">
        <v>2</v>
      </c>
      <c r="C1" t="s">
        <v>33</v>
      </c>
      <c r="D1" t="s">
        <v>3</v>
      </c>
      <c r="E1" t="s">
        <v>4</v>
      </c>
      <c r="F1" t="s">
        <v>41</v>
      </c>
      <c r="G1" t="s">
        <v>115</v>
      </c>
      <c r="H1" t="s">
        <v>42</v>
      </c>
      <c r="I1" t="s">
        <v>114</v>
      </c>
      <c r="J1" t="s">
        <v>0</v>
      </c>
      <c r="K1" t="s">
        <v>5</v>
      </c>
      <c r="L1" t="s">
        <v>43</v>
      </c>
      <c r="M1" t="s">
        <v>85</v>
      </c>
      <c r="N1" t="s">
        <v>44</v>
      </c>
      <c r="O1" t="s">
        <v>86</v>
      </c>
      <c r="P1" t="s">
        <v>45</v>
      </c>
      <c r="Q1" t="s">
        <v>31</v>
      </c>
      <c r="R1" t="s">
        <v>32</v>
      </c>
      <c r="S1" t="s">
        <v>73</v>
      </c>
      <c r="T1" t="s">
        <v>87</v>
      </c>
      <c r="U1" t="s">
        <v>74</v>
      </c>
      <c r="V1" t="s">
        <v>88</v>
      </c>
      <c r="W1" t="s">
        <v>69</v>
      </c>
      <c r="X1" t="s">
        <v>53</v>
      </c>
      <c r="Y1" t="s">
        <v>46</v>
      </c>
      <c r="Z1" t="s">
        <v>52</v>
      </c>
      <c r="AA1" t="s">
        <v>68</v>
      </c>
      <c r="AB1" t="s">
        <v>82</v>
      </c>
      <c r="AC1" t="s">
        <v>83</v>
      </c>
      <c r="AD1" t="s">
        <v>84</v>
      </c>
      <c r="AE1" t="s">
        <v>124</v>
      </c>
    </row>
    <row r="2" spans="1:31" x14ac:dyDescent="0.25">
      <c r="A2">
        <v>2020</v>
      </c>
      <c r="B2">
        <v>15</v>
      </c>
      <c r="C2">
        <v>15</v>
      </c>
      <c r="D2">
        <v>20</v>
      </c>
      <c r="E2">
        <v>20</v>
      </c>
      <c r="F2">
        <v>40</v>
      </c>
      <c r="G2">
        <v>40</v>
      </c>
      <c r="H2">
        <v>40</v>
      </c>
      <c r="I2">
        <v>40</v>
      </c>
      <c r="J2">
        <v>30</v>
      </c>
      <c r="K2">
        <v>30</v>
      </c>
      <c r="L2">
        <v>40</v>
      </c>
      <c r="M2">
        <v>40</v>
      </c>
      <c r="N2">
        <v>40</v>
      </c>
      <c r="O2">
        <v>40</v>
      </c>
      <c r="P2">
        <v>60</v>
      </c>
      <c r="Q2">
        <v>100</v>
      </c>
      <c r="R2">
        <v>100</v>
      </c>
      <c r="S2">
        <v>40</v>
      </c>
      <c r="T2">
        <v>40</v>
      </c>
      <c r="U2">
        <v>40</v>
      </c>
      <c r="V2">
        <v>40</v>
      </c>
      <c r="W2">
        <v>25</v>
      </c>
      <c r="X2">
        <v>10</v>
      </c>
      <c r="Y2">
        <v>40</v>
      </c>
      <c r="Z2">
        <v>25</v>
      </c>
      <c r="AA2">
        <v>100</v>
      </c>
      <c r="AB2">
        <v>30</v>
      </c>
      <c r="AC2">
        <v>30</v>
      </c>
      <c r="AD2">
        <v>30</v>
      </c>
      <c r="AE2">
        <v>25</v>
      </c>
    </row>
    <row r="3" spans="1:31" x14ac:dyDescent="0.25">
      <c r="A3">
        <v>2025</v>
      </c>
      <c r="B3">
        <v>15</v>
      </c>
      <c r="C3">
        <v>15</v>
      </c>
      <c r="D3">
        <v>20</v>
      </c>
      <c r="E3">
        <v>20</v>
      </c>
      <c r="F3">
        <v>40</v>
      </c>
      <c r="G3">
        <v>40</v>
      </c>
      <c r="H3">
        <v>40</v>
      </c>
      <c r="I3">
        <v>40</v>
      </c>
      <c r="J3">
        <v>30</v>
      </c>
      <c r="K3">
        <v>30</v>
      </c>
      <c r="L3">
        <v>40</v>
      </c>
      <c r="M3">
        <v>40</v>
      </c>
      <c r="N3">
        <v>40</v>
      </c>
      <c r="O3">
        <v>40</v>
      </c>
      <c r="P3">
        <v>60</v>
      </c>
      <c r="Q3">
        <v>100</v>
      </c>
      <c r="R3">
        <v>100</v>
      </c>
      <c r="S3">
        <v>40</v>
      </c>
      <c r="T3">
        <v>40</v>
      </c>
      <c r="U3">
        <v>40</v>
      </c>
      <c r="V3">
        <v>40</v>
      </c>
      <c r="W3">
        <v>25</v>
      </c>
      <c r="X3">
        <v>10</v>
      </c>
      <c r="Y3">
        <v>40</v>
      </c>
      <c r="Z3">
        <v>25</v>
      </c>
      <c r="AA3">
        <v>100</v>
      </c>
      <c r="AB3">
        <v>30</v>
      </c>
      <c r="AC3">
        <v>30</v>
      </c>
      <c r="AD3">
        <v>30</v>
      </c>
      <c r="AE3">
        <v>25</v>
      </c>
    </row>
    <row r="4" spans="1:31" x14ac:dyDescent="0.25">
      <c r="A4">
        <v>2030</v>
      </c>
      <c r="B4">
        <v>15</v>
      </c>
      <c r="C4">
        <v>15</v>
      </c>
      <c r="D4">
        <v>20</v>
      </c>
      <c r="E4">
        <v>20</v>
      </c>
      <c r="F4">
        <v>40</v>
      </c>
      <c r="G4">
        <v>40</v>
      </c>
      <c r="H4">
        <v>40</v>
      </c>
      <c r="I4">
        <v>40</v>
      </c>
      <c r="J4">
        <v>30</v>
      </c>
      <c r="K4">
        <v>30</v>
      </c>
      <c r="L4">
        <v>40</v>
      </c>
      <c r="M4">
        <v>40</v>
      </c>
      <c r="N4">
        <v>40</v>
      </c>
      <c r="O4">
        <v>40</v>
      </c>
      <c r="P4">
        <v>60</v>
      </c>
      <c r="Q4">
        <v>100</v>
      </c>
      <c r="R4">
        <v>100</v>
      </c>
      <c r="S4">
        <v>40</v>
      </c>
      <c r="T4">
        <v>40</v>
      </c>
      <c r="U4">
        <v>40</v>
      </c>
      <c r="V4">
        <v>40</v>
      </c>
      <c r="W4">
        <v>25</v>
      </c>
      <c r="X4">
        <v>10</v>
      </c>
      <c r="Y4">
        <v>40</v>
      </c>
      <c r="Z4">
        <v>25</v>
      </c>
      <c r="AA4">
        <v>100</v>
      </c>
      <c r="AB4">
        <v>30</v>
      </c>
      <c r="AC4">
        <v>30</v>
      </c>
      <c r="AD4">
        <v>30</v>
      </c>
      <c r="AE4">
        <v>30</v>
      </c>
    </row>
    <row r="5" spans="1:31" x14ac:dyDescent="0.25">
      <c r="A5">
        <v>2035</v>
      </c>
      <c r="B5">
        <v>15</v>
      </c>
      <c r="C5">
        <v>15</v>
      </c>
      <c r="D5">
        <v>20</v>
      </c>
      <c r="E5">
        <v>20</v>
      </c>
      <c r="F5">
        <v>40</v>
      </c>
      <c r="G5">
        <v>40</v>
      </c>
      <c r="H5">
        <v>40</v>
      </c>
      <c r="I5">
        <v>40</v>
      </c>
      <c r="J5">
        <v>30</v>
      </c>
      <c r="K5">
        <v>30</v>
      </c>
      <c r="L5">
        <v>40</v>
      </c>
      <c r="M5">
        <v>40</v>
      </c>
      <c r="N5">
        <v>40</v>
      </c>
      <c r="O5">
        <v>40</v>
      </c>
      <c r="P5">
        <v>60</v>
      </c>
      <c r="Q5">
        <v>100</v>
      </c>
      <c r="R5">
        <v>100</v>
      </c>
      <c r="S5">
        <v>40</v>
      </c>
      <c r="T5">
        <v>40</v>
      </c>
      <c r="U5">
        <v>40</v>
      </c>
      <c r="V5">
        <v>40</v>
      </c>
      <c r="W5">
        <v>25</v>
      </c>
      <c r="X5">
        <v>10</v>
      </c>
      <c r="Y5">
        <v>40</v>
      </c>
      <c r="Z5">
        <v>25</v>
      </c>
      <c r="AA5">
        <v>100</v>
      </c>
      <c r="AB5">
        <v>30</v>
      </c>
      <c r="AC5">
        <v>30</v>
      </c>
      <c r="AD5">
        <v>30</v>
      </c>
      <c r="AE5">
        <v>30</v>
      </c>
    </row>
    <row r="6" spans="1:31" x14ac:dyDescent="0.25">
      <c r="A6">
        <v>2040</v>
      </c>
      <c r="B6">
        <v>15</v>
      </c>
      <c r="C6">
        <v>15</v>
      </c>
      <c r="D6">
        <v>20</v>
      </c>
      <c r="E6">
        <v>20</v>
      </c>
      <c r="F6">
        <v>40</v>
      </c>
      <c r="G6">
        <v>40</v>
      </c>
      <c r="H6">
        <v>40</v>
      </c>
      <c r="I6">
        <v>40</v>
      </c>
      <c r="J6">
        <v>30</v>
      </c>
      <c r="K6">
        <v>30</v>
      </c>
      <c r="L6">
        <v>40</v>
      </c>
      <c r="M6">
        <v>40</v>
      </c>
      <c r="N6">
        <v>40</v>
      </c>
      <c r="O6">
        <v>40</v>
      </c>
      <c r="P6">
        <v>60</v>
      </c>
      <c r="Q6">
        <v>100</v>
      </c>
      <c r="R6">
        <v>100</v>
      </c>
      <c r="S6">
        <v>40</v>
      </c>
      <c r="T6">
        <v>40</v>
      </c>
      <c r="U6">
        <v>40</v>
      </c>
      <c r="V6">
        <v>40</v>
      </c>
      <c r="W6">
        <v>25</v>
      </c>
      <c r="X6">
        <v>10</v>
      </c>
      <c r="Y6">
        <v>40</v>
      </c>
      <c r="Z6">
        <v>25</v>
      </c>
      <c r="AA6">
        <v>100</v>
      </c>
      <c r="AB6">
        <v>30</v>
      </c>
      <c r="AC6">
        <v>30</v>
      </c>
      <c r="AD6">
        <v>30</v>
      </c>
      <c r="AE6">
        <v>30</v>
      </c>
    </row>
    <row r="7" spans="1:31" x14ac:dyDescent="0.25">
      <c r="A7">
        <v>2045</v>
      </c>
      <c r="B7">
        <v>15</v>
      </c>
      <c r="C7">
        <v>15</v>
      </c>
      <c r="D7">
        <v>20</v>
      </c>
      <c r="E7">
        <v>20</v>
      </c>
      <c r="F7">
        <v>40</v>
      </c>
      <c r="G7">
        <v>40</v>
      </c>
      <c r="H7">
        <v>40</v>
      </c>
      <c r="I7">
        <v>40</v>
      </c>
      <c r="J7">
        <v>30</v>
      </c>
      <c r="K7">
        <v>30</v>
      </c>
      <c r="L7">
        <v>40</v>
      </c>
      <c r="M7">
        <v>40</v>
      </c>
      <c r="N7">
        <v>40</v>
      </c>
      <c r="O7">
        <v>40</v>
      </c>
      <c r="P7">
        <v>60</v>
      </c>
      <c r="Q7">
        <v>100</v>
      </c>
      <c r="R7">
        <v>100</v>
      </c>
      <c r="S7">
        <v>40</v>
      </c>
      <c r="T7">
        <v>40</v>
      </c>
      <c r="U7">
        <v>40</v>
      </c>
      <c r="V7">
        <v>40</v>
      </c>
      <c r="W7">
        <v>25</v>
      </c>
      <c r="X7">
        <v>10</v>
      </c>
      <c r="Y7">
        <v>40</v>
      </c>
      <c r="Z7">
        <v>25</v>
      </c>
      <c r="AA7">
        <v>100</v>
      </c>
      <c r="AB7">
        <v>30</v>
      </c>
      <c r="AC7">
        <v>30</v>
      </c>
      <c r="AD7">
        <v>30</v>
      </c>
      <c r="AE7">
        <v>30</v>
      </c>
    </row>
    <row r="8" spans="1:31" x14ac:dyDescent="0.25">
      <c r="A8">
        <v>2050</v>
      </c>
      <c r="B8">
        <v>15</v>
      </c>
      <c r="C8">
        <v>15</v>
      </c>
      <c r="D8">
        <v>20</v>
      </c>
      <c r="E8">
        <v>20</v>
      </c>
      <c r="F8">
        <v>40</v>
      </c>
      <c r="G8">
        <v>40</v>
      </c>
      <c r="H8">
        <v>40</v>
      </c>
      <c r="I8">
        <v>40</v>
      </c>
      <c r="J8">
        <v>30</v>
      </c>
      <c r="K8">
        <v>30</v>
      </c>
      <c r="L8">
        <v>40</v>
      </c>
      <c r="M8">
        <v>40</v>
      </c>
      <c r="N8">
        <v>40</v>
      </c>
      <c r="O8">
        <v>40</v>
      </c>
      <c r="P8">
        <v>60</v>
      </c>
      <c r="Q8">
        <v>100</v>
      </c>
      <c r="R8">
        <v>100</v>
      </c>
      <c r="S8">
        <v>40</v>
      </c>
      <c r="T8">
        <v>40</v>
      </c>
      <c r="U8">
        <v>40</v>
      </c>
      <c r="V8">
        <v>40</v>
      </c>
      <c r="W8">
        <v>25</v>
      </c>
      <c r="X8">
        <v>10</v>
      </c>
      <c r="Y8">
        <v>40</v>
      </c>
      <c r="Z8">
        <v>25</v>
      </c>
      <c r="AA8">
        <v>100</v>
      </c>
      <c r="AB8">
        <v>30</v>
      </c>
      <c r="AC8">
        <v>30</v>
      </c>
      <c r="AD8">
        <v>30</v>
      </c>
      <c r="AE8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5"/>
  <sheetViews>
    <sheetView workbookViewId="0">
      <selection activeCell="C14" sqref="C14"/>
    </sheetView>
  </sheetViews>
  <sheetFormatPr defaultRowHeight="15" x14ac:dyDescent="0.25"/>
  <sheetData>
    <row r="1" spans="1:31" x14ac:dyDescent="0.25"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34</v>
      </c>
      <c r="B2">
        <v>322.051049922</v>
      </c>
      <c r="C2">
        <v>361.97092399999997</v>
      </c>
      <c r="D2">
        <v>260.46296609248913</v>
      </c>
      <c r="E2">
        <v>245.91306679398286</v>
      </c>
      <c r="F2">
        <v>233.48491792420046</v>
      </c>
      <c r="G2">
        <v>223.49180282747199</v>
      </c>
      <c r="H2">
        <v>213.51187271131411</v>
      </c>
      <c r="I2">
        <v>203.50908203235855</v>
      </c>
      <c r="J2">
        <v>193.49964350847449</v>
      </c>
      <c r="K2">
        <v>183.80197439594465</v>
      </c>
      <c r="L2">
        <v>180.6176403340036</v>
      </c>
      <c r="M2">
        <v>177.43329945954218</v>
      </c>
      <c r="N2">
        <v>173.94616536815829</v>
      </c>
      <c r="O2">
        <v>170.76210506652853</v>
      </c>
      <c r="P2">
        <v>167.9016398571724</v>
      </c>
      <c r="Q2">
        <v>164.41300003407912</v>
      </c>
      <c r="R2">
        <v>161.22933590038411</v>
      </c>
      <c r="S2">
        <v>158.04569166603403</v>
      </c>
      <c r="T2">
        <v>154.86206859048517</v>
      </c>
      <c r="U2">
        <v>151.36970111493505</v>
      </c>
      <c r="V2">
        <v>148.18634580401607</v>
      </c>
      <c r="W2">
        <v>145.33341323330785</v>
      </c>
      <c r="X2">
        <v>142.15041151532489</v>
      </c>
      <c r="Y2">
        <v>138.65616148927256</v>
      </c>
      <c r="Z2">
        <v>135.47346296789331</v>
      </c>
      <c r="AA2">
        <v>132.2908377214282</v>
      </c>
      <c r="AB2">
        <v>129.10829145962941</v>
      </c>
      <c r="AC2">
        <v>125.60865800826926</v>
      </c>
      <c r="AD2">
        <v>122.42634566786236</v>
      </c>
      <c r="AE2">
        <v>119.58492181070594</v>
      </c>
    </row>
    <row r="3" spans="1:31" x14ac:dyDescent="0.25">
      <c r="A3" t="s">
        <v>34</v>
      </c>
      <c r="B3">
        <v>322.051049922</v>
      </c>
      <c r="C3">
        <v>361.97092399999997</v>
      </c>
      <c r="D3">
        <v>346.56710630758812</v>
      </c>
      <c r="E3">
        <v>329.40171900524172</v>
      </c>
      <c r="F3">
        <v>286.97036539931014</v>
      </c>
      <c r="G3">
        <v>275.12638406031789</v>
      </c>
      <c r="H3">
        <v>263.25962797168745</v>
      </c>
      <c r="I3">
        <v>251.36734402479217</v>
      </c>
      <c r="J3">
        <v>239.44631673642476</v>
      </c>
      <c r="K3">
        <v>227.49276692697981</v>
      </c>
      <c r="L3">
        <v>223.34988752774942</v>
      </c>
      <c r="M3">
        <v>219.21087331391499</v>
      </c>
      <c r="N3">
        <v>215.07587486868053</v>
      </c>
      <c r="O3">
        <v>210.94505070023285</v>
      </c>
      <c r="P3">
        <v>206.81856777004194</v>
      </c>
      <c r="Q3">
        <v>202.69660206399644</v>
      </c>
      <c r="R3">
        <v>198.57933921047771</v>
      </c>
      <c r="S3">
        <v>194.46697514993704</v>
      </c>
      <c r="T3">
        <v>190.35971686105407</v>
      </c>
      <c r="U3">
        <v>186.25778314913273</v>
      </c>
      <c r="V3">
        <v>182.16140550304982</v>
      </c>
      <c r="W3">
        <v>178.07082902781096</v>
      </c>
      <c r="X3">
        <v>173.98631346061495</v>
      </c>
      <c r="Y3">
        <v>169.90813427927998</v>
      </c>
      <c r="Z3">
        <v>165.83658391298076</v>
      </c>
      <c r="AA3">
        <v>161.77197306648384</v>
      </c>
      <c r="AB3">
        <v>157.71463217049217</v>
      </c>
      <c r="AC3">
        <v>153.66491297233569</v>
      </c>
      <c r="AD3">
        <v>149.62319028311214</v>
      </c>
      <c r="AE3">
        <v>145.58986389952975</v>
      </c>
    </row>
    <row r="4" spans="1:31" x14ac:dyDescent="0.25">
      <c r="A4" t="s">
        <v>34</v>
      </c>
      <c r="B4">
        <v>322.051049922</v>
      </c>
      <c r="C4">
        <v>361.97092399999997</v>
      </c>
      <c r="D4">
        <v>375.50474243086495</v>
      </c>
      <c r="E4">
        <v>378.0324932334558</v>
      </c>
      <c r="F4">
        <v>372.50804025003765</v>
      </c>
      <c r="G4">
        <v>356.95913036150495</v>
      </c>
      <c r="H4">
        <v>341.43017488460595</v>
      </c>
      <c r="I4">
        <v>325.92328088864576</v>
      </c>
      <c r="J4">
        <v>310.44086292463334</v>
      </c>
      <c r="K4">
        <v>294.98570123694282</v>
      </c>
      <c r="L4">
        <v>292.96599828221531</v>
      </c>
      <c r="M4">
        <v>290.94629532748792</v>
      </c>
      <c r="N4">
        <v>288.92659237276047</v>
      </c>
      <c r="O4">
        <v>286.90688941803302</v>
      </c>
      <c r="P4">
        <v>284.88718646330557</v>
      </c>
      <c r="Q4">
        <v>282.86748350857812</v>
      </c>
      <c r="R4">
        <v>280.84778055385073</v>
      </c>
      <c r="S4">
        <v>278.82807759912328</v>
      </c>
      <c r="T4">
        <v>276.80837464439577</v>
      </c>
      <c r="U4">
        <v>274.78867168966838</v>
      </c>
      <c r="V4">
        <v>272.76896873494093</v>
      </c>
      <c r="W4">
        <v>270.74926578021348</v>
      </c>
      <c r="X4">
        <v>268.72956282548603</v>
      </c>
      <c r="Y4">
        <v>266.70985987075858</v>
      </c>
      <c r="Z4">
        <v>264.69015691603119</v>
      </c>
      <c r="AA4">
        <v>262.67045396130374</v>
      </c>
      <c r="AB4">
        <v>260.65075100657623</v>
      </c>
      <c r="AC4">
        <v>258.63104805184884</v>
      </c>
      <c r="AD4">
        <v>256.61134509712139</v>
      </c>
      <c r="AE4">
        <v>254.59164214239408</v>
      </c>
    </row>
    <row r="5" spans="1:31" x14ac:dyDescent="0.25">
      <c r="A5" t="s">
        <v>35</v>
      </c>
      <c r="B5">
        <v>299.04780031199999</v>
      </c>
      <c r="C5">
        <v>336.11630399999996</v>
      </c>
      <c r="D5">
        <v>241.55706684354092</v>
      </c>
      <c r="E5">
        <v>227.71642303271068</v>
      </c>
      <c r="F5">
        <v>215.79816278027403</v>
      </c>
      <c r="G5">
        <v>206.96845207579779</v>
      </c>
      <c r="H5">
        <v>198.08668245529319</v>
      </c>
      <c r="I5">
        <v>189.29517433443038</v>
      </c>
      <c r="J5">
        <v>180.52991423107929</v>
      </c>
      <c r="K5">
        <v>170.5336794198688</v>
      </c>
      <c r="L5">
        <v>167.39040957520382</v>
      </c>
      <c r="M5">
        <v>164.24716662875272</v>
      </c>
      <c r="N5">
        <v>162.29945723424237</v>
      </c>
      <c r="O5">
        <v>159.15510648809385</v>
      </c>
      <c r="P5">
        <v>154.73308910862875</v>
      </c>
      <c r="Q5">
        <v>152.79132486968388</v>
      </c>
      <c r="R5">
        <v>149.64540991393068</v>
      </c>
      <c r="S5">
        <v>146.49941638860182</v>
      </c>
      <c r="T5">
        <v>143.35333932092348</v>
      </c>
      <c r="U5">
        <v>141.42629315798911</v>
      </c>
      <c r="V5">
        <v>138.27915886187515</v>
      </c>
      <c r="W5">
        <v>133.82739998975114</v>
      </c>
      <c r="X5">
        <v>130.678869585022</v>
      </c>
      <c r="Y5">
        <v>128.75925639007653</v>
      </c>
      <c r="Z5">
        <v>125.60952885908335</v>
      </c>
      <c r="AA5">
        <v>122.45951201309413</v>
      </c>
      <c r="AB5">
        <v>119.30918330800962</v>
      </c>
      <c r="AC5">
        <v>117.41082575955872</v>
      </c>
      <c r="AD5">
        <v>114.25957345098209</v>
      </c>
      <c r="AE5">
        <v>109.76237415145857</v>
      </c>
    </row>
    <row r="6" spans="1:31" x14ac:dyDescent="0.25">
      <c r="A6" t="s">
        <v>35</v>
      </c>
      <c r="B6">
        <v>299.04780031199999</v>
      </c>
      <c r="C6">
        <v>336.11630399999996</v>
      </c>
      <c r="D6">
        <v>329.23390439489356</v>
      </c>
      <c r="E6">
        <v>321.16779158024906</v>
      </c>
      <c r="F6">
        <v>288.29566636476085</v>
      </c>
      <c r="G6">
        <v>289.21290387285478</v>
      </c>
      <c r="H6">
        <v>290.21783251452075</v>
      </c>
      <c r="I6">
        <v>291.32105276704891</v>
      </c>
      <c r="J6">
        <v>292.53494541933458</v>
      </c>
      <c r="K6">
        <v>293.87406169801454</v>
      </c>
      <c r="L6">
        <v>291.87849149960039</v>
      </c>
      <c r="M6">
        <v>289.86803892073334</v>
      </c>
      <c r="N6">
        <v>287.84212416088559</v>
      </c>
      <c r="O6">
        <v>285.80013690544092</v>
      </c>
      <c r="P6">
        <v>283.74143429154498</v>
      </c>
      <c r="Q6">
        <v>281.66533870902339</v>
      </c>
      <c r="R6">
        <v>279.57113542057101</v>
      </c>
      <c r="S6">
        <v>277.45806998363395</v>
      </c>
      <c r="T6">
        <v>275.32534545443269</v>
      </c>
      <c r="U6">
        <v>273.17211935235042</v>
      </c>
      <c r="V6">
        <v>270.99750036036534</v>
      </c>
      <c r="W6">
        <v>268.80054473436911</v>
      </c>
      <c r="X6">
        <v>266.58025239094701</v>
      </c>
      <c r="Y6">
        <v>264.33556263952983</v>
      </c>
      <c r="Z6">
        <v>262.06534952061321</v>
      </c>
      <c r="AA6">
        <v>259.76841670696535</v>
      </c>
      <c r="AB6">
        <v>257.44349191926972</v>
      </c>
      <c r="AC6">
        <v>255.08922080138251</v>
      </c>
      <c r="AD6">
        <v>252.70416019320058</v>
      </c>
      <c r="AE6">
        <v>250.28677073086246</v>
      </c>
    </row>
    <row r="7" spans="1:31" x14ac:dyDescent="0.25">
      <c r="A7" t="s">
        <v>35</v>
      </c>
      <c r="B7">
        <v>299.04780031199999</v>
      </c>
      <c r="C7">
        <v>336.11630399999996</v>
      </c>
      <c r="D7">
        <v>348.06088805249044</v>
      </c>
      <c r="E7">
        <v>351.15773517914357</v>
      </c>
      <c r="F7">
        <v>346.81857167699422</v>
      </c>
      <c r="G7">
        <v>340.22430052793209</v>
      </c>
      <c r="H7">
        <v>333.55111699751626</v>
      </c>
      <c r="I7">
        <v>326.79068839924105</v>
      </c>
      <c r="J7">
        <v>319.93346606920551</v>
      </c>
      <c r="K7">
        <v>312.96845516033903</v>
      </c>
      <c r="L7">
        <v>310.82562819966529</v>
      </c>
      <c r="M7">
        <v>308.68280123899126</v>
      </c>
      <c r="N7">
        <v>306.5399742783174</v>
      </c>
      <c r="O7">
        <v>304.39714731764343</v>
      </c>
      <c r="P7">
        <v>302.25432035696957</v>
      </c>
      <c r="Q7">
        <v>300.11149339629554</v>
      </c>
      <c r="R7">
        <v>297.96866643562174</v>
      </c>
      <c r="S7">
        <v>295.82583947494777</v>
      </c>
      <c r="T7">
        <v>293.68301251427397</v>
      </c>
      <c r="U7">
        <v>291.54018555359988</v>
      </c>
      <c r="V7">
        <v>289.39735859292608</v>
      </c>
      <c r="W7">
        <v>287.25453163225211</v>
      </c>
      <c r="X7">
        <v>285.11170467157825</v>
      </c>
      <c r="Y7">
        <v>282.96887771090445</v>
      </c>
      <c r="Z7">
        <v>280.82605075023048</v>
      </c>
      <c r="AA7">
        <v>278.68322378955668</v>
      </c>
      <c r="AB7">
        <v>276.54039682888259</v>
      </c>
      <c r="AC7">
        <v>274.39756986820862</v>
      </c>
      <c r="AD7">
        <v>272.25474290753482</v>
      </c>
      <c r="AE7">
        <v>270.11191594686102</v>
      </c>
    </row>
    <row r="9" spans="1:31" x14ac:dyDescent="0.25">
      <c r="A9" t="s">
        <v>47</v>
      </c>
    </row>
    <row r="13" spans="1:31" x14ac:dyDescent="0.25">
      <c r="J13" t="s">
        <v>39</v>
      </c>
      <c r="K13" t="s">
        <v>40</v>
      </c>
    </row>
    <row r="14" spans="1:31" x14ac:dyDescent="0.25">
      <c r="B14" t="s">
        <v>34</v>
      </c>
      <c r="C14" t="s">
        <v>34</v>
      </c>
      <c r="D14" t="s">
        <v>34</v>
      </c>
      <c r="E14" t="s">
        <v>35</v>
      </c>
      <c r="F14" t="s">
        <v>35</v>
      </c>
      <c r="G14" t="s">
        <v>35</v>
      </c>
      <c r="I14" t="s">
        <v>36</v>
      </c>
      <c r="J14">
        <f>3200/6.5</f>
        <v>492.30769230769232</v>
      </c>
      <c r="K14">
        <f>1600/6.5</f>
        <v>246.15384615384616</v>
      </c>
      <c r="M14" t="s">
        <v>34</v>
      </c>
      <c r="N14" t="s">
        <v>34</v>
      </c>
      <c r="O14" t="s">
        <v>34</v>
      </c>
      <c r="P14" t="s">
        <v>35</v>
      </c>
      <c r="Q14" t="s">
        <v>35</v>
      </c>
      <c r="R14" t="s">
        <v>35</v>
      </c>
    </row>
    <row r="15" spans="1:31" x14ac:dyDescent="0.25">
      <c r="A15">
        <v>2020</v>
      </c>
      <c r="B15">
        <f t="shared" ref="B15:B45" si="0">$K$14*M15/M$15</f>
        <v>246.15384615384619</v>
      </c>
      <c r="C15">
        <f t="shared" ref="C15:C45" si="1">$K$14*N15/N$15</f>
        <v>246.15384615384619</v>
      </c>
      <c r="D15">
        <f t="shared" ref="D15:D45" si="2">$K$14*O15/O$15</f>
        <v>246.15384615384619</v>
      </c>
      <c r="E15">
        <f t="shared" ref="E15:E45" si="3">$J$14*P15/P$15</f>
        <v>492.30769230769232</v>
      </c>
      <c r="F15">
        <f t="shared" ref="F15:F45" si="4">$J$14*Q15/Q$15</f>
        <v>492.30769230769232</v>
      </c>
      <c r="G15">
        <f t="shared" ref="G15:G45" si="5">$J$14*R15/R$15</f>
        <v>492.30769230769232</v>
      </c>
      <c r="M15">
        <v>322.051049922</v>
      </c>
      <c r="N15">
        <v>322.051049922</v>
      </c>
      <c r="O15">
        <v>322.051049922</v>
      </c>
      <c r="P15">
        <v>299.04780031199999</v>
      </c>
      <c r="Q15">
        <v>299.04780031199999</v>
      </c>
      <c r="R15">
        <v>299.04780031199999</v>
      </c>
    </row>
    <row r="16" spans="1:31" x14ac:dyDescent="0.25">
      <c r="A16">
        <v>2021</v>
      </c>
      <c r="B16">
        <f t="shared" si="0"/>
        <v>246.15384615384619</v>
      </c>
      <c r="C16">
        <f t="shared" si="1"/>
        <v>246.15384615384619</v>
      </c>
      <c r="D16">
        <f t="shared" si="2"/>
        <v>246.15384615384619</v>
      </c>
      <c r="E16">
        <f t="shared" si="3"/>
        <v>492.30769230769232</v>
      </c>
      <c r="F16">
        <f t="shared" si="4"/>
        <v>492.30769230769232</v>
      </c>
      <c r="G16">
        <f t="shared" si="5"/>
        <v>492.30769230769232</v>
      </c>
      <c r="M16">
        <v>322.051049922</v>
      </c>
      <c r="N16">
        <v>322.051049922</v>
      </c>
      <c r="O16">
        <v>322.051049922</v>
      </c>
      <c r="P16">
        <v>299.04780031199999</v>
      </c>
      <c r="Q16">
        <v>299.04780031199999</v>
      </c>
      <c r="R16">
        <v>299.04780031199999</v>
      </c>
    </row>
    <row r="17" spans="1:18" x14ac:dyDescent="0.25">
      <c r="A17">
        <v>2022</v>
      </c>
      <c r="B17">
        <f t="shared" si="0"/>
        <v>276.66587381112862</v>
      </c>
      <c r="C17">
        <f t="shared" si="1"/>
        <v>276.66587381112862</v>
      </c>
      <c r="D17">
        <f t="shared" si="2"/>
        <v>276.66587381112862</v>
      </c>
      <c r="E17">
        <f t="shared" si="3"/>
        <v>553.33174762225724</v>
      </c>
      <c r="F17">
        <f t="shared" si="4"/>
        <v>553.33174762225724</v>
      </c>
      <c r="G17">
        <f t="shared" si="5"/>
        <v>553.33174762225724</v>
      </c>
      <c r="M17">
        <v>361.97092399999997</v>
      </c>
      <c r="N17">
        <v>361.97092399999997</v>
      </c>
      <c r="O17">
        <v>361.97092399999997</v>
      </c>
      <c r="P17">
        <v>336.11630399999996</v>
      </c>
      <c r="Q17">
        <v>336.11630399999996</v>
      </c>
      <c r="R17">
        <v>336.11630399999996</v>
      </c>
    </row>
    <row r="18" spans="1:18" x14ac:dyDescent="0.25">
      <c r="A18">
        <v>2023</v>
      </c>
      <c r="B18">
        <f t="shared" si="0"/>
        <v>199.08011757711475</v>
      </c>
      <c r="C18">
        <f t="shared" si="1"/>
        <v>264.89224670648736</v>
      </c>
      <c r="D18">
        <f t="shared" si="2"/>
        <v>287.01020108691949</v>
      </c>
      <c r="E18">
        <f t="shared" si="3"/>
        <v>397.6635240730331</v>
      </c>
      <c r="F18">
        <f t="shared" si="4"/>
        <v>542.00159149472745</v>
      </c>
      <c r="G18">
        <f t="shared" si="5"/>
        <v>572.99552914588571</v>
      </c>
      <c r="M18">
        <v>260.46296609248913</v>
      </c>
      <c r="N18">
        <v>346.56710630758812</v>
      </c>
      <c r="O18">
        <v>375.50474243086495</v>
      </c>
      <c r="P18">
        <v>241.55706684354092</v>
      </c>
      <c r="Q18">
        <v>329.23390439489356</v>
      </c>
      <c r="R18">
        <v>348.06088805249044</v>
      </c>
    </row>
    <row r="19" spans="1:18" x14ac:dyDescent="0.25">
      <c r="A19">
        <v>2024</v>
      </c>
      <c r="B19">
        <f t="shared" si="0"/>
        <v>187.95916742233061</v>
      </c>
      <c r="C19">
        <f t="shared" si="1"/>
        <v>251.77219599956891</v>
      </c>
      <c r="D19">
        <f t="shared" si="2"/>
        <v>288.94224130950812</v>
      </c>
      <c r="E19">
        <f t="shared" si="3"/>
        <v>374.87835258053724</v>
      </c>
      <c r="F19">
        <f t="shared" si="4"/>
        <v>528.72274650229429</v>
      </c>
      <c r="G19">
        <f t="shared" si="5"/>
        <v>578.09371632787361</v>
      </c>
      <c r="M19">
        <v>245.91306679398286</v>
      </c>
      <c r="N19">
        <v>329.40171900524172</v>
      </c>
      <c r="O19">
        <v>378.0324932334558</v>
      </c>
      <c r="P19">
        <v>227.71642303271068</v>
      </c>
      <c r="Q19">
        <v>321.16779158024906</v>
      </c>
      <c r="R19">
        <v>351.15773517914357</v>
      </c>
    </row>
    <row r="20" spans="1:18" x14ac:dyDescent="0.25">
      <c r="A20">
        <v>2025</v>
      </c>
      <c r="B20">
        <f t="shared" si="0"/>
        <v>178.45993850936648</v>
      </c>
      <c r="C20">
        <f t="shared" si="1"/>
        <v>219.34056477171359</v>
      </c>
      <c r="D20">
        <f t="shared" si="2"/>
        <v>284.7197264315289</v>
      </c>
      <c r="E20">
        <f t="shared" si="3"/>
        <v>355.2579066348456</v>
      </c>
      <c r="F20">
        <f t="shared" si="4"/>
        <v>474.60698277086948</v>
      </c>
      <c r="G20">
        <f t="shared" si="5"/>
        <v>570.95036476982773</v>
      </c>
      <c r="M20">
        <v>233.48491792420046</v>
      </c>
      <c r="N20">
        <v>286.97036539931014</v>
      </c>
      <c r="O20">
        <v>372.50804025003765</v>
      </c>
      <c r="P20">
        <v>215.79816278027403</v>
      </c>
      <c r="Q20">
        <v>288.29566636476085</v>
      </c>
      <c r="R20">
        <v>346.81857167699422</v>
      </c>
    </row>
    <row r="21" spans="1:18" x14ac:dyDescent="0.25">
      <c r="A21">
        <v>2026</v>
      </c>
      <c r="B21">
        <f t="shared" si="0"/>
        <v>170.82188324852027</v>
      </c>
      <c r="C21">
        <f t="shared" si="1"/>
        <v>210.28783365634092</v>
      </c>
      <c r="D21">
        <f t="shared" si="2"/>
        <v>272.83520075310338</v>
      </c>
      <c r="E21">
        <f t="shared" si="3"/>
        <v>340.72198797525328</v>
      </c>
      <c r="F21">
        <f t="shared" si="4"/>
        <v>476.11698578856993</v>
      </c>
      <c r="G21">
        <f t="shared" si="5"/>
        <v>560.09454035493843</v>
      </c>
      <c r="M21">
        <v>223.49180282747199</v>
      </c>
      <c r="N21">
        <v>275.12638406031789</v>
      </c>
      <c r="O21">
        <v>356.95913036150495</v>
      </c>
      <c r="P21">
        <v>206.96845207579779</v>
      </c>
      <c r="Q21">
        <v>289.21290387285478</v>
      </c>
      <c r="R21">
        <v>340.22430052793209</v>
      </c>
    </row>
    <row r="22" spans="1:18" x14ac:dyDescent="0.25">
      <c r="A22">
        <v>2027</v>
      </c>
      <c r="B22">
        <f t="shared" si="0"/>
        <v>163.19390568709377</v>
      </c>
      <c r="C22">
        <f t="shared" si="1"/>
        <v>201.21769507646849</v>
      </c>
      <c r="D22">
        <f t="shared" si="2"/>
        <v>260.96592686526384</v>
      </c>
      <c r="E22">
        <f t="shared" si="3"/>
        <v>326.10036728144706</v>
      </c>
      <c r="F22">
        <f t="shared" si="4"/>
        <v>477.77135040852801</v>
      </c>
      <c r="G22">
        <f t="shared" si="5"/>
        <v>549.10880636600029</v>
      </c>
      <c r="M22">
        <v>213.51187271131411</v>
      </c>
      <c r="N22">
        <v>263.25962797168745</v>
      </c>
      <c r="O22">
        <v>341.43017488460595</v>
      </c>
      <c r="P22">
        <v>198.08668245529319</v>
      </c>
      <c r="Q22">
        <v>290.21783251452075</v>
      </c>
      <c r="R22">
        <v>333.55111699751626</v>
      </c>
    </row>
    <row r="23" spans="1:18" x14ac:dyDescent="0.25">
      <c r="A23">
        <v>2028</v>
      </c>
      <c r="B23">
        <f t="shared" si="0"/>
        <v>155.54845507144418</v>
      </c>
      <c r="C23">
        <f t="shared" si="1"/>
        <v>192.12804474373115</v>
      </c>
      <c r="D23">
        <f t="shared" si="2"/>
        <v>249.11351526800283</v>
      </c>
      <c r="E23">
        <f t="shared" si="3"/>
        <v>311.6273396571986</v>
      </c>
      <c r="F23">
        <f t="shared" si="4"/>
        <v>479.58752767538169</v>
      </c>
      <c r="G23">
        <f t="shared" si="5"/>
        <v>537.97944511085836</v>
      </c>
      <c r="M23">
        <v>203.50908203235855</v>
      </c>
      <c r="N23">
        <v>251.36734402479217</v>
      </c>
      <c r="O23">
        <v>325.92328088864576</v>
      </c>
      <c r="P23">
        <v>189.29517433443038</v>
      </c>
      <c r="Q23">
        <v>291.32105276704891</v>
      </c>
      <c r="R23">
        <v>326.79068839924105</v>
      </c>
    </row>
    <row r="24" spans="1:18" x14ac:dyDescent="0.25">
      <c r="A24">
        <v>2029</v>
      </c>
      <c r="B24">
        <f t="shared" si="0"/>
        <v>147.8979232967728</v>
      </c>
      <c r="C24">
        <f t="shared" si="1"/>
        <v>183.01642496218628</v>
      </c>
      <c r="D24">
        <f t="shared" si="2"/>
        <v>237.27981147934548</v>
      </c>
      <c r="E24">
        <f t="shared" si="3"/>
        <v>297.1975228538135</v>
      </c>
      <c r="F24">
        <f t="shared" si="4"/>
        <v>481.58589947324322</v>
      </c>
      <c r="G24">
        <f t="shared" si="5"/>
        <v>526.69073709354973</v>
      </c>
      <c r="M24">
        <v>193.49964350847449</v>
      </c>
      <c r="N24">
        <v>239.44631673642476</v>
      </c>
      <c r="O24">
        <v>310.44086292463334</v>
      </c>
      <c r="P24">
        <v>180.52991423107929</v>
      </c>
      <c r="Q24">
        <v>292.53494541933458</v>
      </c>
      <c r="R24">
        <v>319.93346606920551</v>
      </c>
    </row>
    <row r="25" spans="1:18" x14ac:dyDescent="0.25">
      <c r="A25">
        <v>2030</v>
      </c>
      <c r="B25">
        <f t="shared" si="0"/>
        <v>140.4856867853417</v>
      </c>
      <c r="C25">
        <f t="shared" si="1"/>
        <v>173.87994718483051</v>
      </c>
      <c r="D25">
        <f t="shared" si="2"/>
        <v>225.46694052837051</v>
      </c>
      <c r="E25">
        <f t="shared" si="3"/>
        <v>280.74121290423858</v>
      </c>
      <c r="F25">
        <f t="shared" si="4"/>
        <v>483.79042077117879</v>
      </c>
      <c r="G25">
        <f t="shared" si="5"/>
        <v>515.22458203785459</v>
      </c>
      <c r="M25">
        <v>183.80197439594465</v>
      </c>
      <c r="N25">
        <v>227.49276692697981</v>
      </c>
      <c r="O25">
        <v>294.98570123694282</v>
      </c>
      <c r="P25">
        <v>170.5336794198688</v>
      </c>
      <c r="Q25">
        <v>293.87406169801454</v>
      </c>
      <c r="R25">
        <v>312.96845516033903</v>
      </c>
    </row>
    <row r="26" spans="1:18" x14ac:dyDescent="0.25">
      <c r="A26">
        <v>2031</v>
      </c>
      <c r="B26">
        <f t="shared" si="0"/>
        <v>138.05179912381928</v>
      </c>
      <c r="C26">
        <f t="shared" si="1"/>
        <v>170.71341287755504</v>
      </c>
      <c r="D26">
        <f t="shared" si="2"/>
        <v>223.9232174120668</v>
      </c>
      <c r="E26">
        <f t="shared" si="3"/>
        <v>275.56660228375279</v>
      </c>
      <c r="F26">
        <f t="shared" si="4"/>
        <v>480.50521165680215</v>
      </c>
      <c r="G26">
        <f t="shared" si="5"/>
        <v>511.69695135498921</v>
      </c>
      <c r="M26">
        <v>180.6176403340036</v>
      </c>
      <c r="N26">
        <v>223.34988752774942</v>
      </c>
      <c r="O26">
        <v>292.96599828221531</v>
      </c>
      <c r="P26">
        <v>167.39040957520382</v>
      </c>
      <c r="Q26">
        <v>291.87849149960039</v>
      </c>
      <c r="R26">
        <v>310.82562819966529</v>
      </c>
    </row>
    <row r="27" spans="1:18" x14ac:dyDescent="0.25">
      <c r="A27">
        <v>2032</v>
      </c>
      <c r="B27">
        <f t="shared" si="0"/>
        <v>135.61790625527118</v>
      </c>
      <c r="C27">
        <f t="shared" si="1"/>
        <v>167.54983285424026</v>
      </c>
      <c r="D27">
        <f t="shared" si="2"/>
        <v>222.37949429576321</v>
      </c>
      <c r="E27">
        <f t="shared" si="3"/>
        <v>270.39203594447429</v>
      </c>
      <c r="F27">
        <f t="shared" si="4"/>
        <v>477.19550241111148</v>
      </c>
      <c r="G27">
        <f t="shared" si="5"/>
        <v>508.16932067212343</v>
      </c>
      <c r="M27">
        <v>177.43329945954218</v>
      </c>
      <c r="N27">
        <v>219.21087331391499</v>
      </c>
      <c r="O27">
        <v>290.94629532748792</v>
      </c>
      <c r="P27">
        <v>164.24716662875272</v>
      </c>
      <c r="Q27">
        <v>289.86803892073334</v>
      </c>
      <c r="R27">
        <v>308.68280123899126</v>
      </c>
    </row>
    <row r="28" spans="1:18" x14ac:dyDescent="0.25">
      <c r="A28">
        <v>2033</v>
      </c>
      <c r="B28">
        <f t="shared" si="0"/>
        <v>132.95257891398091</v>
      </c>
      <c r="C28">
        <f t="shared" si="1"/>
        <v>164.38932221041173</v>
      </c>
      <c r="D28">
        <f t="shared" si="2"/>
        <v>220.83577117945956</v>
      </c>
      <c r="E28">
        <f t="shared" si="3"/>
        <v>267.1856177187023</v>
      </c>
      <c r="F28">
        <f t="shared" si="4"/>
        <v>473.8603385370011</v>
      </c>
      <c r="G28">
        <f t="shared" si="5"/>
        <v>504.64168998925794</v>
      </c>
      <c r="M28">
        <v>173.94616536815829</v>
      </c>
      <c r="N28">
        <v>215.07587486868053</v>
      </c>
      <c r="O28">
        <v>288.92659237276047</v>
      </c>
      <c r="P28">
        <v>162.29945723424237</v>
      </c>
      <c r="Q28">
        <v>287.84212416088559</v>
      </c>
      <c r="R28">
        <v>306.5399742783174</v>
      </c>
    </row>
    <row r="29" spans="1:18" x14ac:dyDescent="0.25">
      <c r="A29">
        <v>2034</v>
      </c>
      <c r="B29">
        <f t="shared" si="0"/>
        <v>130.5189004961594</v>
      </c>
      <c r="C29">
        <f t="shared" si="1"/>
        <v>161.23200209891101</v>
      </c>
      <c r="D29">
        <f t="shared" si="2"/>
        <v>219.2920480631559</v>
      </c>
      <c r="E29">
        <f t="shared" si="3"/>
        <v>262.00922766324192</v>
      </c>
      <c r="F29">
        <f t="shared" si="4"/>
        <v>470.49871530352192</v>
      </c>
      <c r="G29">
        <f t="shared" si="5"/>
        <v>501.11405930639216</v>
      </c>
      <c r="M29">
        <v>170.76210506652853</v>
      </c>
      <c r="N29">
        <v>210.94505070023285</v>
      </c>
      <c r="O29">
        <v>286.90688941803302</v>
      </c>
      <c r="P29">
        <v>159.15510648809385</v>
      </c>
      <c r="Q29">
        <v>285.80013690544092</v>
      </c>
      <c r="R29">
        <v>304.39714731764343</v>
      </c>
    </row>
    <row r="30" spans="1:18" x14ac:dyDescent="0.25">
      <c r="A30">
        <v>2035</v>
      </c>
      <c r="B30">
        <f t="shared" si="0"/>
        <v>128.33255608510154</v>
      </c>
      <c r="C30">
        <f t="shared" si="1"/>
        <v>158.07800013369246</v>
      </c>
      <c r="D30">
        <f t="shared" si="2"/>
        <v>217.74832494685231</v>
      </c>
      <c r="E30">
        <f t="shared" si="3"/>
        <v>254.72947784011097</v>
      </c>
      <c r="F30">
        <f t="shared" si="4"/>
        <v>467.10957439716003</v>
      </c>
      <c r="G30">
        <f t="shared" si="5"/>
        <v>497.58642862352667</v>
      </c>
      <c r="M30">
        <v>167.9016398571724</v>
      </c>
      <c r="N30">
        <v>206.81856777004194</v>
      </c>
      <c r="O30">
        <v>284.88718646330557</v>
      </c>
      <c r="P30">
        <v>154.73308910862875</v>
      </c>
      <c r="Q30">
        <v>283.74143429154498</v>
      </c>
      <c r="R30">
        <v>302.25432035696957</v>
      </c>
    </row>
    <row r="31" spans="1:18" x14ac:dyDescent="0.25">
      <c r="A31">
        <v>2036</v>
      </c>
      <c r="B31">
        <f t="shared" si="0"/>
        <v>125.66607786524207</v>
      </c>
      <c r="C31">
        <f t="shared" si="1"/>
        <v>154.92745082636029</v>
      </c>
      <c r="D31">
        <f t="shared" si="2"/>
        <v>216.20460183054865</v>
      </c>
      <c r="E31">
        <f t="shared" si="3"/>
        <v>251.53284683167956</v>
      </c>
      <c r="F31">
        <f t="shared" si="4"/>
        <v>463.69180030159725</v>
      </c>
      <c r="G31">
        <f t="shared" si="5"/>
        <v>494.0587979406609</v>
      </c>
      <c r="M31">
        <v>164.41300003407912</v>
      </c>
      <c r="N31">
        <v>202.69660206399644</v>
      </c>
      <c r="O31">
        <v>282.86748350857812</v>
      </c>
      <c r="P31">
        <v>152.79132486968388</v>
      </c>
      <c r="Q31">
        <v>281.66533870902339</v>
      </c>
      <c r="R31">
        <v>300.11149339629554</v>
      </c>
    </row>
    <row r="32" spans="1:18" x14ac:dyDescent="0.25">
      <c r="A32">
        <v>2037</v>
      </c>
      <c r="B32">
        <f t="shared" si="0"/>
        <v>123.2327022511558</v>
      </c>
      <c r="C32">
        <f t="shared" si="1"/>
        <v>151.78049605858214</v>
      </c>
      <c r="D32">
        <f t="shared" si="2"/>
        <v>214.66087871424503</v>
      </c>
      <c r="E32">
        <f t="shared" si="3"/>
        <v>246.35388169484432</v>
      </c>
      <c r="F32">
        <f t="shared" si="4"/>
        <v>460.24421637994482</v>
      </c>
      <c r="G32">
        <f t="shared" si="5"/>
        <v>490.5311672577954</v>
      </c>
      <c r="M32">
        <v>161.22933590038411</v>
      </c>
      <c r="N32">
        <v>198.57933921047771</v>
      </c>
      <c r="O32">
        <v>280.84778055385073</v>
      </c>
      <c r="P32">
        <v>149.64540991393068</v>
      </c>
      <c r="Q32">
        <v>279.57113542057101</v>
      </c>
      <c r="R32">
        <v>297.96866643562174</v>
      </c>
    </row>
    <row r="33" spans="1:18" x14ac:dyDescent="0.25">
      <c r="A33">
        <v>2038</v>
      </c>
      <c r="B33">
        <f t="shared" si="0"/>
        <v>120.79934184677087</v>
      </c>
      <c r="C33">
        <f t="shared" si="1"/>
        <v>148.63728559386823</v>
      </c>
      <c r="D33">
        <f t="shared" si="2"/>
        <v>213.11715559794138</v>
      </c>
      <c r="E33">
        <f t="shared" si="3"/>
        <v>241.17478721277919</v>
      </c>
      <c r="F33">
        <f t="shared" si="4"/>
        <v>456.76558063051516</v>
      </c>
      <c r="G33">
        <f t="shared" si="5"/>
        <v>487.00353657492974</v>
      </c>
      <c r="M33">
        <v>158.04569166603403</v>
      </c>
      <c r="N33">
        <v>194.46697514993704</v>
      </c>
      <c r="O33">
        <v>278.82807759912328</v>
      </c>
      <c r="P33">
        <v>146.49941638860182</v>
      </c>
      <c r="Q33">
        <v>277.45806998363395</v>
      </c>
      <c r="R33">
        <v>295.82583947494777</v>
      </c>
    </row>
    <row r="34" spans="1:18" x14ac:dyDescent="0.25">
      <c r="A34">
        <v>2039</v>
      </c>
      <c r="B34">
        <f t="shared" si="0"/>
        <v>118.36599761472972</v>
      </c>
      <c r="C34">
        <f t="shared" si="1"/>
        <v>145.49797763259724</v>
      </c>
      <c r="D34">
        <f t="shared" si="2"/>
        <v>211.57343248163772</v>
      </c>
      <c r="E34">
        <f t="shared" si="3"/>
        <v>235.99555519905113</v>
      </c>
      <c r="F34">
        <f t="shared" si="4"/>
        <v>453.25458108394213</v>
      </c>
      <c r="G34">
        <f t="shared" si="5"/>
        <v>483.47590589206425</v>
      </c>
      <c r="M34">
        <v>154.86206859048517</v>
      </c>
      <c r="N34">
        <v>190.35971686105407</v>
      </c>
      <c r="O34">
        <v>276.80837464439577</v>
      </c>
      <c r="P34">
        <v>143.35333932092348</v>
      </c>
      <c r="Q34">
        <v>275.32534545443269</v>
      </c>
      <c r="R34">
        <v>293.68301251427397</v>
      </c>
    </row>
    <row r="35" spans="1:18" x14ac:dyDescent="0.25">
      <c r="A35">
        <v>2040</v>
      </c>
      <c r="B35">
        <f t="shared" si="0"/>
        <v>115.69667023170315</v>
      </c>
      <c r="C35">
        <f t="shared" si="1"/>
        <v>142.36273941461252</v>
      </c>
      <c r="D35">
        <f t="shared" si="2"/>
        <v>210.02970936533413</v>
      </c>
      <c r="E35">
        <f t="shared" si="3"/>
        <v>232.82315383560743</v>
      </c>
      <c r="F35">
        <f t="shared" si="4"/>
        <v>449.70983080580316</v>
      </c>
      <c r="G35">
        <f t="shared" si="5"/>
        <v>479.94827520919836</v>
      </c>
      <c r="M35">
        <v>151.36970111493505</v>
      </c>
      <c r="N35">
        <v>186.25778314913273</v>
      </c>
      <c r="O35">
        <v>274.78867168966838</v>
      </c>
      <c r="P35">
        <v>141.42629315798911</v>
      </c>
      <c r="Q35">
        <v>273.17211935235042</v>
      </c>
      <c r="R35">
        <v>291.54018555359988</v>
      </c>
    </row>
    <row r="36" spans="1:18" x14ac:dyDescent="0.25">
      <c r="A36">
        <v>2041</v>
      </c>
      <c r="B36">
        <f t="shared" si="0"/>
        <v>113.26353066067313</v>
      </c>
      <c r="C36">
        <f t="shared" si="1"/>
        <v>139.23174787421493</v>
      </c>
      <c r="D36">
        <f t="shared" si="2"/>
        <v>208.48598624903047</v>
      </c>
      <c r="E36">
        <f t="shared" si="3"/>
        <v>227.64218135867972</v>
      </c>
      <c r="F36">
        <f t="shared" si="4"/>
        <v>446.12986246470285</v>
      </c>
      <c r="G36">
        <f t="shared" si="5"/>
        <v>476.42064452633298</v>
      </c>
      <c r="M36">
        <v>148.18634580401607</v>
      </c>
      <c r="N36">
        <v>182.16140550304982</v>
      </c>
      <c r="O36">
        <v>272.76896873494093</v>
      </c>
      <c r="P36">
        <v>138.27915886187515</v>
      </c>
      <c r="Q36">
        <v>270.99750036036534</v>
      </c>
      <c r="R36">
        <v>289.39735859292608</v>
      </c>
    </row>
    <row r="37" spans="1:18" x14ac:dyDescent="0.25">
      <c r="A37">
        <v>2042</v>
      </c>
      <c r="B37">
        <f t="shared" si="0"/>
        <v>111.08294368457884</v>
      </c>
      <c r="C37">
        <f t="shared" si="1"/>
        <v>136.10519035294507</v>
      </c>
      <c r="D37">
        <f t="shared" si="2"/>
        <v>206.94226313272682</v>
      </c>
      <c r="E37">
        <f t="shared" si="3"/>
        <v>220.31346957829172</v>
      </c>
      <c r="F37">
        <f t="shared" si="4"/>
        <v>442.51312242111055</v>
      </c>
      <c r="G37">
        <f t="shared" si="5"/>
        <v>472.8930138434672</v>
      </c>
      <c r="M37">
        <v>145.33341323330785</v>
      </c>
      <c r="N37">
        <v>178.07082902781096</v>
      </c>
      <c r="O37">
        <v>270.74926578021348</v>
      </c>
      <c r="P37">
        <v>133.82739998975114</v>
      </c>
      <c r="Q37">
        <v>268.80054473436911</v>
      </c>
      <c r="R37">
        <v>287.25453163225211</v>
      </c>
    </row>
    <row r="38" spans="1:18" x14ac:dyDescent="0.25">
      <c r="A38">
        <v>2043</v>
      </c>
      <c r="B38">
        <f t="shared" si="0"/>
        <v>108.65007437586031</v>
      </c>
      <c r="C38">
        <f t="shared" si="1"/>
        <v>132.98326537619349</v>
      </c>
      <c r="D38">
        <f t="shared" si="2"/>
        <v>205.39854001642323</v>
      </c>
      <c r="E38">
        <f t="shared" si="3"/>
        <v>215.13019875638426</v>
      </c>
      <c r="F38">
        <f t="shared" si="4"/>
        <v>438.85796428686524</v>
      </c>
      <c r="G38">
        <f t="shared" si="5"/>
        <v>469.36538316060177</v>
      </c>
      <c r="M38">
        <v>142.15041151532489</v>
      </c>
      <c r="N38">
        <v>173.98631346061495</v>
      </c>
      <c r="O38">
        <v>268.72956282548603</v>
      </c>
      <c r="P38">
        <v>130.678869585022</v>
      </c>
      <c r="Q38">
        <v>266.58025239094701</v>
      </c>
      <c r="R38">
        <v>285.11170467157825</v>
      </c>
    </row>
    <row r="39" spans="1:18" x14ac:dyDescent="0.25">
      <c r="A39">
        <v>2044</v>
      </c>
      <c r="B39">
        <f t="shared" si="0"/>
        <v>105.97930809969299</v>
      </c>
      <c r="C39">
        <f t="shared" si="1"/>
        <v>129.86618350040618</v>
      </c>
      <c r="D39">
        <f t="shared" si="2"/>
        <v>203.85481690011957</v>
      </c>
      <c r="E39">
        <f t="shared" si="3"/>
        <v>211.97003392273214</v>
      </c>
      <c r="F39">
        <f t="shared" si="4"/>
        <v>435.16264189922697</v>
      </c>
      <c r="G39">
        <f t="shared" si="5"/>
        <v>465.83775247773627</v>
      </c>
      <c r="M39">
        <v>138.65616148927256</v>
      </c>
      <c r="N39">
        <v>169.90813427927998</v>
      </c>
      <c r="O39">
        <v>266.70985987075858</v>
      </c>
      <c r="P39">
        <v>128.75925639007653</v>
      </c>
      <c r="Q39">
        <v>264.33556263952983</v>
      </c>
      <c r="R39">
        <v>282.96887771090445</v>
      </c>
    </row>
    <row r="40" spans="1:18" x14ac:dyDescent="0.25">
      <c r="A40">
        <v>2045</v>
      </c>
      <c r="B40">
        <f t="shared" si="0"/>
        <v>103.54667053376856</v>
      </c>
      <c r="C40">
        <f t="shared" si="1"/>
        <v>126.75416823848917</v>
      </c>
      <c r="D40">
        <f t="shared" si="2"/>
        <v>202.31109378381598</v>
      </c>
      <c r="E40">
        <f t="shared" si="3"/>
        <v>206.78479233070752</v>
      </c>
      <c r="F40">
        <f t="shared" si="4"/>
        <v>431.42530164641636</v>
      </c>
      <c r="G40">
        <f t="shared" si="5"/>
        <v>462.31012179487055</v>
      </c>
      <c r="M40">
        <v>135.47346296789331</v>
      </c>
      <c r="N40">
        <v>165.83658391298076</v>
      </c>
      <c r="O40">
        <v>264.69015691603119</v>
      </c>
      <c r="P40">
        <v>125.60952885908335</v>
      </c>
      <c r="Q40">
        <v>262.06534952061321</v>
      </c>
      <c r="R40">
        <v>280.82605075023048</v>
      </c>
    </row>
    <row r="41" spans="1:18" x14ac:dyDescent="0.25">
      <c r="A41">
        <v>2046</v>
      </c>
      <c r="B41">
        <f t="shared" si="0"/>
        <v>101.11408897418831</v>
      </c>
      <c r="C41">
        <f t="shared" si="1"/>
        <v>123.64745707196394</v>
      </c>
      <c r="D41">
        <f t="shared" si="2"/>
        <v>200.76737066751232</v>
      </c>
      <c r="E41">
        <f t="shared" si="3"/>
        <v>201.59907445362776</v>
      </c>
      <c r="F41">
        <f t="shared" si="4"/>
        <v>427.64397407372394</v>
      </c>
      <c r="G41">
        <f t="shared" si="5"/>
        <v>458.78249111200518</v>
      </c>
      <c r="M41">
        <v>132.2908377214282</v>
      </c>
      <c r="N41">
        <v>161.77197306648384</v>
      </c>
      <c r="O41">
        <v>262.67045396130374</v>
      </c>
      <c r="P41">
        <v>122.45951201309413</v>
      </c>
      <c r="Q41">
        <v>259.76841670696535</v>
      </c>
      <c r="R41">
        <v>278.68322378955668</v>
      </c>
    </row>
    <row r="42" spans="1:18" x14ac:dyDescent="0.25">
      <c r="A42">
        <v>2047</v>
      </c>
      <c r="B42">
        <f t="shared" si="0"/>
        <v>98.681567785097144</v>
      </c>
      <c r="C42">
        <f t="shared" si="1"/>
        <v>120.54630255951152</v>
      </c>
      <c r="D42">
        <f t="shared" si="2"/>
        <v>199.22364755120864</v>
      </c>
      <c r="E42">
        <f t="shared" si="3"/>
        <v>196.41284317825063</v>
      </c>
      <c r="F42">
        <f t="shared" si="4"/>
        <v>423.81656469025671</v>
      </c>
      <c r="G42">
        <f t="shared" si="5"/>
        <v>455.25486042913923</v>
      </c>
      <c r="M42">
        <v>129.10829145962941</v>
      </c>
      <c r="N42">
        <v>157.71463217049217</v>
      </c>
      <c r="O42">
        <v>260.65075100657623</v>
      </c>
      <c r="P42">
        <v>119.30918330800962</v>
      </c>
      <c r="Q42">
        <v>257.44349191926972</v>
      </c>
      <c r="R42">
        <v>276.54039682888259</v>
      </c>
    </row>
    <row r="43" spans="1:18" x14ac:dyDescent="0.25">
      <c r="A43">
        <v>2048</v>
      </c>
      <c r="B43">
        <f t="shared" si="0"/>
        <v>96.00668678598349</v>
      </c>
      <c r="C43">
        <f t="shared" si="1"/>
        <v>117.45097355278814</v>
      </c>
      <c r="D43">
        <f t="shared" si="2"/>
        <v>197.67992443490505</v>
      </c>
      <c r="E43">
        <f t="shared" si="3"/>
        <v>193.28767047048385</v>
      </c>
      <c r="F43">
        <f t="shared" si="4"/>
        <v>419.94084388607598</v>
      </c>
      <c r="G43">
        <f t="shared" si="5"/>
        <v>451.72722974627357</v>
      </c>
      <c r="M43">
        <v>125.60865800826926</v>
      </c>
      <c r="N43">
        <v>153.66491297233569</v>
      </c>
      <c r="O43">
        <v>258.63104805184884</v>
      </c>
      <c r="P43">
        <v>117.41082575955872</v>
      </c>
      <c r="Q43">
        <v>255.08922080138251</v>
      </c>
      <c r="R43">
        <v>274.39756986820862</v>
      </c>
    </row>
    <row r="44" spans="1:18" x14ac:dyDescent="0.25">
      <c r="A44">
        <v>2049</v>
      </c>
      <c r="B44">
        <f t="shared" si="0"/>
        <v>93.574344390441766</v>
      </c>
      <c r="C44">
        <f t="shared" si="1"/>
        <v>114.36175653182019</v>
      </c>
      <c r="D44">
        <f t="shared" si="2"/>
        <v>196.13620131860142</v>
      </c>
      <c r="E44">
        <f t="shared" si="3"/>
        <v>188.09991871208246</v>
      </c>
      <c r="F44">
        <f t="shared" si="4"/>
        <v>416.01443585765043</v>
      </c>
      <c r="G44">
        <f t="shared" si="5"/>
        <v>448.19959906340819</v>
      </c>
      <c r="M44">
        <v>122.42634566786236</v>
      </c>
      <c r="N44">
        <v>149.62319028311214</v>
      </c>
      <c r="O44">
        <v>256.61134509712139</v>
      </c>
      <c r="P44">
        <v>114.25957345098209</v>
      </c>
      <c r="Q44">
        <v>252.70416019320058</v>
      </c>
      <c r="R44">
        <v>272.25474290753482</v>
      </c>
    </row>
    <row r="45" spans="1:18" x14ac:dyDescent="0.25">
      <c r="A45">
        <v>2050</v>
      </c>
      <c r="B45">
        <f t="shared" si="0"/>
        <v>91.402553889644608</v>
      </c>
      <c r="C45">
        <f t="shared" si="1"/>
        <v>111.27895707392975</v>
      </c>
      <c r="D45">
        <f t="shared" si="2"/>
        <v>194.59247820229788</v>
      </c>
      <c r="E45">
        <f t="shared" si="3"/>
        <v>180.69640058994179</v>
      </c>
      <c r="F45">
        <f t="shared" si="4"/>
        <v>412.03480642593092</v>
      </c>
      <c r="G45">
        <f t="shared" si="5"/>
        <v>444.67196838054269</v>
      </c>
      <c r="M45">
        <v>119.58492181070594</v>
      </c>
      <c r="N45">
        <v>145.58986389952975</v>
      </c>
      <c r="O45">
        <v>254.59164214239408</v>
      </c>
      <c r="P45">
        <v>109.76237415145857</v>
      </c>
      <c r="Q45">
        <v>250.28677073086246</v>
      </c>
      <c r="R45">
        <v>270.11191594686102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2"/>
  <sheetViews>
    <sheetView workbookViewId="0">
      <selection activeCell="F11" sqref="F11"/>
    </sheetView>
  </sheetViews>
  <sheetFormatPr defaultRowHeight="15" x14ac:dyDescent="0.25"/>
  <sheetData>
    <row r="1" spans="1:31" x14ac:dyDescent="0.25">
      <c r="A1" s="1" t="s">
        <v>13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</row>
    <row r="2" spans="1:31" x14ac:dyDescent="0.25">
      <c r="A2" s="3" t="s">
        <v>10</v>
      </c>
      <c r="B2" s="4">
        <v>1290.8062682686857</v>
      </c>
      <c r="C2" s="4">
        <v>1373.1981577326442</v>
      </c>
      <c r="D2" s="4">
        <v>1316.2190335666319</v>
      </c>
      <c r="E2" s="4">
        <v>1259.2399094006194</v>
      </c>
      <c r="F2" s="4">
        <v>1202.2607852346068</v>
      </c>
      <c r="G2" s="4">
        <v>1145.2816610685943</v>
      </c>
      <c r="H2" s="4">
        <v>1088.3025369025818</v>
      </c>
      <c r="I2" s="4">
        <v>1031.3234127365695</v>
      </c>
      <c r="J2" s="4">
        <v>974.34428857055696</v>
      </c>
      <c r="K2" s="4">
        <v>917.36516440454443</v>
      </c>
      <c r="L2" s="4">
        <v>860.38604023853202</v>
      </c>
      <c r="M2" s="4">
        <v>803.40691607251949</v>
      </c>
      <c r="N2" s="4">
        <v>746.42779190650708</v>
      </c>
      <c r="O2" s="4">
        <v>689.44866774049456</v>
      </c>
      <c r="P2" s="4">
        <v>632.46954357448169</v>
      </c>
      <c r="Q2" s="4">
        <v>625.04005636870511</v>
      </c>
      <c r="R2" s="4">
        <v>617.61056916292853</v>
      </c>
      <c r="S2" s="4">
        <v>610.18108195715195</v>
      </c>
      <c r="T2" s="4">
        <v>602.75159475137548</v>
      </c>
      <c r="U2" s="4">
        <v>595.32210754559878</v>
      </c>
      <c r="V2" s="4">
        <v>587.89262033982232</v>
      </c>
      <c r="W2" s="4">
        <v>580.46313313404573</v>
      </c>
      <c r="X2" s="4">
        <v>573.03364592826892</v>
      </c>
      <c r="Y2" s="4">
        <v>565.60415872249246</v>
      </c>
      <c r="Z2" s="4">
        <v>558.17467151671576</v>
      </c>
      <c r="AA2" s="4">
        <v>550.74518431093929</v>
      </c>
      <c r="AB2" s="4">
        <v>543.31569710516271</v>
      </c>
      <c r="AC2" s="4">
        <v>535.88620989938613</v>
      </c>
      <c r="AD2" s="4">
        <v>528.45672269360955</v>
      </c>
      <c r="AE2" s="4">
        <v>521.0272354878324</v>
      </c>
    </row>
    <row r="3" spans="1:31" x14ac:dyDescent="0.25">
      <c r="A3" s="5" t="s">
        <v>11</v>
      </c>
      <c r="B3" s="6">
        <v>1290.8062682686857</v>
      </c>
      <c r="C3" s="6">
        <v>1373.1981577326442</v>
      </c>
      <c r="D3" s="6">
        <v>1331.3527873137889</v>
      </c>
      <c r="E3" s="6">
        <v>1289.5074168949341</v>
      </c>
      <c r="F3" s="6">
        <v>1247.6620464760786</v>
      </c>
      <c r="G3" s="6">
        <v>1205.8166760572233</v>
      </c>
      <c r="H3" s="6">
        <v>1163.9713056383682</v>
      </c>
      <c r="I3" s="6">
        <v>1122.1259352195129</v>
      </c>
      <c r="J3" s="6">
        <v>1080.2805648006577</v>
      </c>
      <c r="K3" s="6">
        <v>1038.4351943818024</v>
      </c>
      <c r="L3" s="6">
        <v>996.58982396294721</v>
      </c>
      <c r="M3" s="6">
        <v>954.74445354409204</v>
      </c>
      <c r="N3" s="6">
        <v>912.89908312523676</v>
      </c>
      <c r="O3" s="6">
        <v>871.05371270638148</v>
      </c>
      <c r="P3" s="6">
        <v>829.20834228752562</v>
      </c>
      <c r="Q3" s="6">
        <v>816.09242237332262</v>
      </c>
      <c r="R3" s="6">
        <v>802.97650245911973</v>
      </c>
      <c r="S3" s="6">
        <v>789.86058254491684</v>
      </c>
      <c r="T3" s="6">
        <v>776.74466263071395</v>
      </c>
      <c r="U3" s="6">
        <v>763.62874271651094</v>
      </c>
      <c r="V3" s="6">
        <v>750.51282280230805</v>
      </c>
      <c r="W3" s="6">
        <v>737.39690288810516</v>
      </c>
      <c r="X3" s="6">
        <v>724.28098297390216</v>
      </c>
      <c r="Y3" s="6">
        <v>711.16506305969938</v>
      </c>
      <c r="Z3" s="6">
        <v>698.04914314549637</v>
      </c>
      <c r="AA3" s="6">
        <v>684.93322323129348</v>
      </c>
      <c r="AB3" s="6">
        <v>671.81730331709059</v>
      </c>
      <c r="AC3" s="6">
        <v>658.70138340288759</v>
      </c>
      <c r="AD3" s="6">
        <v>645.58546348868481</v>
      </c>
      <c r="AE3" s="6">
        <v>632.46954357448169</v>
      </c>
    </row>
    <row r="4" spans="1:31" ht="15.75" thickBot="1" x14ac:dyDescent="0.3">
      <c r="A4" s="7" t="s">
        <v>12</v>
      </c>
      <c r="B4" s="8">
        <v>1290.8062682686857</v>
      </c>
      <c r="C4" s="8">
        <v>1373.1981577326442</v>
      </c>
      <c r="D4" s="8">
        <v>1352.2929183600088</v>
      </c>
      <c r="E4" s="8">
        <v>1331.3876789873734</v>
      </c>
      <c r="F4" s="8">
        <v>1310.4824396147383</v>
      </c>
      <c r="G4" s="8">
        <v>1289.5772002421029</v>
      </c>
      <c r="H4" s="8">
        <v>1268.6719608694677</v>
      </c>
      <c r="I4" s="8">
        <v>1247.7667214968324</v>
      </c>
      <c r="J4" s="8">
        <v>1226.8614821241972</v>
      </c>
      <c r="K4" s="8">
        <v>1205.9562427515618</v>
      </c>
      <c r="L4" s="8">
        <v>1185.0510033789265</v>
      </c>
      <c r="M4" s="8">
        <v>1164.1457640062911</v>
      </c>
      <c r="N4" s="8">
        <v>1143.2405246336557</v>
      </c>
      <c r="O4" s="8">
        <v>1122.3352852610205</v>
      </c>
      <c r="P4" s="8">
        <v>1101.4300458883845</v>
      </c>
      <c r="Q4" s="8">
        <v>1083.281932314994</v>
      </c>
      <c r="R4" s="8">
        <v>1065.1338187416036</v>
      </c>
      <c r="S4" s="8">
        <v>1046.9857051682129</v>
      </c>
      <c r="T4" s="8">
        <v>1028.8375915948225</v>
      </c>
      <c r="U4" s="8">
        <v>1010.6894780214318</v>
      </c>
      <c r="V4" s="8">
        <v>992.54136444804124</v>
      </c>
      <c r="W4" s="8">
        <v>974.39325087465056</v>
      </c>
      <c r="X4" s="8">
        <v>956.24513730126012</v>
      </c>
      <c r="Y4" s="8">
        <v>938.09702372786955</v>
      </c>
      <c r="Z4" s="8">
        <v>919.94891015447888</v>
      </c>
      <c r="AA4" s="8">
        <v>901.80079658108832</v>
      </c>
      <c r="AB4" s="8">
        <v>883.65268300769787</v>
      </c>
      <c r="AC4" s="8">
        <v>865.5045694343072</v>
      </c>
      <c r="AD4" s="8">
        <v>847.35645586091664</v>
      </c>
      <c r="AE4" s="8">
        <v>829.20834228752562</v>
      </c>
    </row>
    <row r="5" spans="1:31" ht="15.75" thickTop="1" x14ac:dyDescent="0.25">
      <c r="A5" s="3" t="s">
        <v>14</v>
      </c>
      <c r="B5" s="9">
        <v>2858.7294348498822</v>
      </c>
      <c r="C5" s="9">
        <v>2947.1437472679199</v>
      </c>
      <c r="D5" s="9">
        <v>2806.4833220396595</v>
      </c>
      <c r="E5" s="9">
        <v>2665.822896811399</v>
      </c>
      <c r="F5" s="9">
        <v>2525.1624715831381</v>
      </c>
      <c r="G5" s="9">
        <v>2384.5020463548776</v>
      </c>
      <c r="H5" s="9">
        <v>2243.8416211266172</v>
      </c>
      <c r="I5" s="9">
        <v>2103.1811958983562</v>
      </c>
      <c r="J5" s="9">
        <v>1962.5207706700955</v>
      </c>
      <c r="K5" s="9">
        <v>1821.8603454418346</v>
      </c>
      <c r="L5" s="9">
        <v>1681.1999202135739</v>
      </c>
      <c r="M5" s="9">
        <v>1540.539494985313</v>
      </c>
      <c r="N5" s="9">
        <v>1399.8790697570523</v>
      </c>
      <c r="O5" s="9">
        <v>1259.2186445287914</v>
      </c>
      <c r="P5" s="9">
        <v>1118.55821930053</v>
      </c>
      <c r="Q5" s="9">
        <v>1102.1521749967101</v>
      </c>
      <c r="R5" s="9">
        <v>1085.7461306928899</v>
      </c>
      <c r="S5" s="9">
        <v>1069.3400863890699</v>
      </c>
      <c r="T5" s="9">
        <v>1052.9340420852498</v>
      </c>
      <c r="U5" s="9">
        <v>1036.5279977814296</v>
      </c>
      <c r="V5" s="9">
        <v>1020.1219534776096</v>
      </c>
      <c r="W5" s="9">
        <v>1003.7159091737896</v>
      </c>
      <c r="X5" s="9">
        <v>987.30986486996949</v>
      </c>
      <c r="Y5" s="9">
        <v>970.90382056614953</v>
      </c>
      <c r="Z5" s="9">
        <v>954.49777626232958</v>
      </c>
      <c r="AA5" s="9">
        <v>938.09173195850963</v>
      </c>
      <c r="AB5" s="9">
        <v>921.68568765468956</v>
      </c>
      <c r="AC5" s="9">
        <v>905.27964335086961</v>
      </c>
      <c r="AD5" s="9">
        <v>888.87359904704965</v>
      </c>
      <c r="AE5" s="9">
        <v>872.46755474323038</v>
      </c>
    </row>
    <row r="6" spans="1:31" x14ac:dyDescent="0.25">
      <c r="A6" s="5" t="s">
        <v>15</v>
      </c>
      <c r="B6" s="10">
        <v>2858.7294348498822</v>
      </c>
      <c r="C6" s="10">
        <v>2947.1437472679199</v>
      </c>
      <c r="D6" s="10">
        <v>2841.7254331186673</v>
      </c>
      <c r="E6" s="10">
        <v>2736.3071189694147</v>
      </c>
      <c r="F6" s="10">
        <v>2630.888804820162</v>
      </c>
      <c r="G6" s="10">
        <v>2525.4704906709094</v>
      </c>
      <c r="H6" s="10">
        <v>2420.0521765216567</v>
      </c>
      <c r="I6" s="10">
        <v>2314.6338623724041</v>
      </c>
      <c r="J6" s="10">
        <v>2209.2155482231515</v>
      </c>
      <c r="K6" s="10">
        <v>2103.7972340738993</v>
      </c>
      <c r="L6" s="10">
        <v>1998.3789199246467</v>
      </c>
      <c r="M6" s="10">
        <v>1892.9606057753942</v>
      </c>
      <c r="N6" s="10">
        <v>1787.5422916261418</v>
      </c>
      <c r="O6" s="10">
        <v>1682.1239774768894</v>
      </c>
      <c r="P6" s="10">
        <v>1576.7056633276379</v>
      </c>
      <c r="Q6" s="10">
        <v>1546.1625003924976</v>
      </c>
      <c r="R6" s="10">
        <v>1515.619337457357</v>
      </c>
      <c r="S6" s="10">
        <v>1485.0761745222164</v>
      </c>
      <c r="T6" s="10">
        <v>1454.5330115870761</v>
      </c>
      <c r="U6" s="10">
        <v>1423.9898486519355</v>
      </c>
      <c r="V6" s="10">
        <v>1393.4466857167952</v>
      </c>
      <c r="W6" s="10">
        <v>1362.9035227816546</v>
      </c>
      <c r="X6" s="10">
        <v>1332.360359846514</v>
      </c>
      <c r="Y6" s="10">
        <v>1301.8171969113737</v>
      </c>
      <c r="Z6" s="10">
        <v>1271.2740339762331</v>
      </c>
      <c r="AA6" s="10">
        <v>1240.7308710410928</v>
      </c>
      <c r="AB6" s="10">
        <v>1210.1877081059522</v>
      </c>
      <c r="AC6" s="10">
        <v>1179.6445451708119</v>
      </c>
      <c r="AD6" s="10">
        <v>1149.1013822356713</v>
      </c>
      <c r="AE6" s="10">
        <v>1118.55821930053</v>
      </c>
    </row>
    <row r="7" spans="1:31" ht="15.75" thickBot="1" x14ac:dyDescent="0.3">
      <c r="A7" s="7" t="s">
        <v>16</v>
      </c>
      <c r="B7" s="11">
        <v>2858.7294348498822</v>
      </c>
      <c r="C7" s="11">
        <v>2947.1437472679199</v>
      </c>
      <c r="D7" s="11">
        <v>2891.8396806737633</v>
      </c>
      <c r="E7" s="11">
        <v>2836.5356140796061</v>
      </c>
      <c r="F7" s="11">
        <v>2781.2315474854495</v>
      </c>
      <c r="G7" s="11">
        <v>2725.9274808912924</v>
      </c>
      <c r="H7" s="11">
        <v>2670.6234142971357</v>
      </c>
      <c r="I7" s="11">
        <v>2615.319347702979</v>
      </c>
      <c r="J7" s="11">
        <v>2560.0152811088219</v>
      </c>
      <c r="K7" s="11">
        <v>2504.7112145146652</v>
      </c>
      <c r="L7" s="11">
        <v>2449.4071479205081</v>
      </c>
      <c r="M7" s="11">
        <v>2394.1030813263515</v>
      </c>
      <c r="N7" s="11">
        <v>2338.7990147321943</v>
      </c>
      <c r="O7" s="11">
        <v>2283.4949481380377</v>
      </c>
      <c r="P7" s="11">
        <v>2228.1908815438801</v>
      </c>
      <c r="Q7" s="11">
        <v>2184.7585336627976</v>
      </c>
      <c r="R7" s="11">
        <v>2141.3261857817147</v>
      </c>
      <c r="S7" s="11">
        <v>2097.8938379006322</v>
      </c>
      <c r="T7" s="11">
        <v>2054.4614900195493</v>
      </c>
      <c r="U7" s="11">
        <v>2011.0291421384666</v>
      </c>
      <c r="V7" s="11">
        <v>1967.5967942573839</v>
      </c>
      <c r="W7" s="11">
        <v>1924.1644463763009</v>
      </c>
      <c r="X7" s="11">
        <v>1880.7320984952182</v>
      </c>
      <c r="Y7" s="11">
        <v>1837.2997506141355</v>
      </c>
      <c r="Z7" s="11">
        <v>1793.8674027330528</v>
      </c>
      <c r="AA7" s="11">
        <v>1750.4350548519701</v>
      </c>
      <c r="AB7" s="11">
        <v>1707.0027069708874</v>
      </c>
      <c r="AC7" s="11">
        <v>1663.5703590898045</v>
      </c>
      <c r="AD7" s="11">
        <v>1620.1380112087218</v>
      </c>
      <c r="AE7" s="11">
        <v>1576.7056633276379</v>
      </c>
    </row>
    <row r="8" spans="1:31" ht="15.75" thickTop="1" x14ac:dyDescent="0.25"/>
    <row r="9" spans="1:31" x14ac:dyDescent="0.25">
      <c r="M9" t="s">
        <v>38</v>
      </c>
      <c r="N9" t="s">
        <v>37</v>
      </c>
    </row>
    <row r="10" spans="1:31" x14ac:dyDescent="0.25">
      <c r="A10" s="1" t="s">
        <v>13</v>
      </c>
      <c r="B10" s="3" t="s">
        <v>10</v>
      </c>
      <c r="C10" s="5" t="s">
        <v>11</v>
      </c>
      <c r="D10" s="7" t="s">
        <v>12</v>
      </c>
      <c r="E10" s="3" t="s">
        <v>14</v>
      </c>
      <c r="F10" s="5" t="s">
        <v>15</v>
      </c>
      <c r="G10" s="7" t="s">
        <v>16</v>
      </c>
      <c r="I10" s="13" t="s">
        <v>36</v>
      </c>
      <c r="J10" s="26">
        <v>628</v>
      </c>
      <c r="K10" s="26">
        <v>746</v>
      </c>
      <c r="M10" s="1" t="s">
        <v>13</v>
      </c>
      <c r="N10" s="3" t="s">
        <v>10</v>
      </c>
      <c r="O10" s="5" t="s">
        <v>11</v>
      </c>
      <c r="P10" s="7" t="s">
        <v>12</v>
      </c>
      <c r="Q10" s="3" t="s">
        <v>14</v>
      </c>
      <c r="R10" s="5" t="s">
        <v>15</v>
      </c>
      <c r="S10" s="7" t="s">
        <v>16</v>
      </c>
    </row>
    <row r="11" spans="1:31" ht="15.75" thickBot="1" x14ac:dyDescent="0.3">
      <c r="A11" s="2">
        <v>2020</v>
      </c>
      <c r="B11" s="27">
        <f t="shared" ref="B11:B41" si="0">$J$10/N$11*N11</f>
        <v>628</v>
      </c>
      <c r="C11" s="27">
        <f t="shared" ref="C11:C41" si="1">$J$10/O$11*O11</f>
        <v>628</v>
      </c>
      <c r="D11" s="27">
        <f t="shared" ref="D11:D41" si="2">$J$10/P$11*P11</f>
        <v>628</v>
      </c>
      <c r="E11" s="27">
        <f>$K$10*Q11/Q$11</f>
        <v>746</v>
      </c>
      <c r="F11" s="27">
        <f t="shared" ref="F11:G11" si="3">$K$10*R11/R$11</f>
        <v>746</v>
      </c>
      <c r="G11" s="27">
        <f t="shared" si="3"/>
        <v>746</v>
      </c>
      <c r="M11" s="2">
        <v>2020</v>
      </c>
      <c r="N11" s="4">
        <v>1290.8062682686857</v>
      </c>
      <c r="O11" s="6">
        <v>1290.8062682686857</v>
      </c>
      <c r="P11" s="8">
        <v>1290.8062682686857</v>
      </c>
      <c r="Q11" s="9">
        <v>2858.7294348498822</v>
      </c>
      <c r="R11" s="10">
        <v>2858.7294348498822</v>
      </c>
      <c r="S11" s="11">
        <v>2858.7294348498822</v>
      </c>
    </row>
    <row r="12" spans="1:31" ht="16.5" thickTop="1" thickBot="1" x14ac:dyDescent="0.3">
      <c r="A12" s="2">
        <v>2021</v>
      </c>
      <c r="B12" s="27">
        <f t="shared" si="0"/>
        <v>628</v>
      </c>
      <c r="C12" s="27">
        <f t="shared" si="1"/>
        <v>628</v>
      </c>
      <c r="D12" s="27">
        <f t="shared" si="2"/>
        <v>628</v>
      </c>
      <c r="E12" s="27">
        <f t="shared" ref="E12:E41" si="4">$K$10*Q12/Q$11</f>
        <v>746</v>
      </c>
      <c r="F12" s="27">
        <f t="shared" ref="F12:F41" si="5">$K$10*R12/R$11</f>
        <v>746</v>
      </c>
      <c r="G12" s="27">
        <f t="shared" ref="G12:G41" si="6">$K$10*S12/S$11</f>
        <v>746</v>
      </c>
      <c r="M12" s="2">
        <v>2021</v>
      </c>
      <c r="N12" s="4">
        <v>1290.8062682686857</v>
      </c>
      <c r="O12" s="6">
        <v>1290.8062682686857</v>
      </c>
      <c r="P12" s="8">
        <v>1290.8062682686857</v>
      </c>
      <c r="Q12" s="9">
        <v>2858.7294348498822</v>
      </c>
      <c r="R12" s="10">
        <v>2858.7294348498822</v>
      </c>
      <c r="S12" s="11">
        <v>2858.7294348498822</v>
      </c>
    </row>
    <row r="13" spans="1:31" ht="16.5" thickTop="1" thickBot="1" x14ac:dyDescent="0.3">
      <c r="A13" s="2">
        <v>2022</v>
      </c>
      <c r="B13" s="27">
        <f t="shared" si="0"/>
        <v>668.08510638297867</v>
      </c>
      <c r="C13" s="27">
        <f t="shared" si="1"/>
        <v>668.08510638297867</v>
      </c>
      <c r="D13" s="27">
        <f t="shared" si="2"/>
        <v>668.08510638297867</v>
      </c>
      <c r="E13" s="27">
        <f t="shared" si="4"/>
        <v>769.07216494845363</v>
      </c>
      <c r="F13" s="27">
        <f t="shared" si="5"/>
        <v>769.07216494845363</v>
      </c>
      <c r="G13" s="27">
        <f t="shared" si="6"/>
        <v>769.07216494845363</v>
      </c>
      <c r="M13" s="2">
        <v>2022</v>
      </c>
      <c r="N13" s="4">
        <v>1373.1981577326442</v>
      </c>
      <c r="O13" s="6">
        <v>1373.1981577326442</v>
      </c>
      <c r="P13" s="8">
        <v>1373.1981577326442</v>
      </c>
      <c r="Q13" s="9">
        <v>2947.1437472679199</v>
      </c>
      <c r="R13" s="10">
        <v>2947.1437472679199</v>
      </c>
      <c r="S13" s="11">
        <v>2947.1437472679199</v>
      </c>
    </row>
    <row r="14" spans="1:31" ht="16.5" thickTop="1" thickBot="1" x14ac:dyDescent="0.3">
      <c r="A14" s="2">
        <v>2023</v>
      </c>
      <c r="B14" s="27">
        <f t="shared" si="0"/>
        <v>640.36375821796696</v>
      </c>
      <c r="C14" s="27">
        <f t="shared" si="1"/>
        <v>647.72659614868292</v>
      </c>
      <c r="D14" s="27">
        <f t="shared" si="2"/>
        <v>657.91433897291347</v>
      </c>
      <c r="E14" s="27">
        <f t="shared" si="4"/>
        <v>732.36611087384256</v>
      </c>
      <c r="F14" s="27">
        <f t="shared" si="5"/>
        <v>741.56271917977006</v>
      </c>
      <c r="G14" s="27">
        <f t="shared" si="6"/>
        <v>754.64028721413865</v>
      </c>
      <c r="M14" s="2">
        <v>2023</v>
      </c>
      <c r="N14" s="4">
        <v>1316.2190335666319</v>
      </c>
      <c r="O14" s="6">
        <v>1331.3527873137889</v>
      </c>
      <c r="P14" s="8">
        <v>1352.2929183600088</v>
      </c>
      <c r="Q14" s="9">
        <v>2806.4833220396595</v>
      </c>
      <c r="R14" s="10">
        <v>2841.7254331186673</v>
      </c>
      <c r="S14" s="11">
        <v>2891.8396806737633</v>
      </c>
    </row>
    <row r="15" spans="1:31" ht="16.5" thickTop="1" thickBot="1" x14ac:dyDescent="0.3">
      <c r="A15" s="2">
        <v>2024</v>
      </c>
      <c r="B15" s="27">
        <f t="shared" si="0"/>
        <v>612.64241005295514</v>
      </c>
      <c r="C15" s="27">
        <f t="shared" si="1"/>
        <v>627.36808591438739</v>
      </c>
      <c r="D15" s="27">
        <f t="shared" si="2"/>
        <v>647.74357156284827</v>
      </c>
      <c r="E15" s="27">
        <f t="shared" si="4"/>
        <v>695.66005679923137</v>
      </c>
      <c r="F15" s="27">
        <f t="shared" si="5"/>
        <v>714.05327341108637</v>
      </c>
      <c r="G15" s="27">
        <f t="shared" si="6"/>
        <v>740.20840947982356</v>
      </c>
      <c r="M15" s="2">
        <v>2024</v>
      </c>
      <c r="N15" s="4">
        <v>1259.2399094006194</v>
      </c>
      <c r="O15" s="6">
        <v>1289.5074168949341</v>
      </c>
      <c r="P15" s="8">
        <v>1331.3876789873734</v>
      </c>
      <c r="Q15" s="9">
        <v>2665.822896811399</v>
      </c>
      <c r="R15" s="10">
        <v>2736.3071189694147</v>
      </c>
      <c r="S15" s="11">
        <v>2836.5356140796061</v>
      </c>
    </row>
    <row r="16" spans="1:31" ht="16.5" thickTop="1" thickBot="1" x14ac:dyDescent="0.3">
      <c r="A16" s="2">
        <v>2025</v>
      </c>
      <c r="B16" s="27">
        <f t="shared" si="0"/>
        <v>584.92106188794332</v>
      </c>
      <c r="C16" s="27">
        <f t="shared" si="1"/>
        <v>607.00957568009153</v>
      </c>
      <c r="D16" s="27">
        <f t="shared" si="2"/>
        <v>637.57280415278319</v>
      </c>
      <c r="E16" s="27">
        <f t="shared" si="4"/>
        <v>658.95400272462007</v>
      </c>
      <c r="F16" s="27">
        <f t="shared" si="5"/>
        <v>686.54382764240279</v>
      </c>
      <c r="G16" s="27">
        <f t="shared" si="6"/>
        <v>725.77653174550858</v>
      </c>
      <c r="M16" s="2">
        <v>2025</v>
      </c>
      <c r="N16" s="4">
        <v>1202.2607852346068</v>
      </c>
      <c r="O16" s="6">
        <v>1247.6620464760786</v>
      </c>
      <c r="P16" s="8">
        <v>1310.4824396147383</v>
      </c>
      <c r="Q16" s="9">
        <v>2525.1624715831381</v>
      </c>
      <c r="R16" s="10">
        <v>2630.888804820162</v>
      </c>
      <c r="S16" s="11">
        <v>2781.2315474854495</v>
      </c>
    </row>
    <row r="17" spans="1:19" ht="16.5" thickTop="1" thickBot="1" x14ac:dyDescent="0.3">
      <c r="A17" s="2">
        <v>2026</v>
      </c>
      <c r="B17" s="27">
        <f t="shared" si="0"/>
        <v>557.19971372293151</v>
      </c>
      <c r="C17" s="27">
        <f t="shared" si="1"/>
        <v>586.65106544579589</v>
      </c>
      <c r="D17" s="27">
        <f t="shared" si="2"/>
        <v>627.402036742718</v>
      </c>
      <c r="E17" s="27">
        <f t="shared" si="4"/>
        <v>622.24794865000899</v>
      </c>
      <c r="F17" s="27">
        <f t="shared" si="5"/>
        <v>659.0343818737191</v>
      </c>
      <c r="G17" s="27">
        <f t="shared" si="6"/>
        <v>711.34465401119348</v>
      </c>
      <c r="M17" s="2">
        <v>2026</v>
      </c>
      <c r="N17" s="4">
        <v>1145.2816610685943</v>
      </c>
      <c r="O17" s="6">
        <v>1205.8166760572233</v>
      </c>
      <c r="P17" s="8">
        <v>1289.5772002421029</v>
      </c>
      <c r="Q17" s="9">
        <v>2384.5020463548776</v>
      </c>
      <c r="R17" s="10">
        <v>2525.4704906709094</v>
      </c>
      <c r="S17" s="11">
        <v>2725.9274808912924</v>
      </c>
    </row>
    <row r="18" spans="1:19" ht="16.5" thickTop="1" thickBot="1" x14ac:dyDescent="0.3">
      <c r="A18" s="2">
        <v>2027</v>
      </c>
      <c r="B18" s="27">
        <f t="shared" si="0"/>
        <v>529.47836555791969</v>
      </c>
      <c r="C18" s="27">
        <f t="shared" si="1"/>
        <v>566.29255521150026</v>
      </c>
      <c r="D18" s="27">
        <f t="shared" si="2"/>
        <v>617.23126933265291</v>
      </c>
      <c r="E18" s="27">
        <f t="shared" si="4"/>
        <v>585.54189457539792</v>
      </c>
      <c r="F18" s="27">
        <f t="shared" si="5"/>
        <v>631.52493610503552</v>
      </c>
      <c r="G18" s="27">
        <f t="shared" si="6"/>
        <v>696.9127762768785</v>
      </c>
      <c r="M18" s="2">
        <v>2027</v>
      </c>
      <c r="N18" s="4">
        <v>1088.3025369025818</v>
      </c>
      <c r="O18" s="6">
        <v>1163.9713056383682</v>
      </c>
      <c r="P18" s="8">
        <v>1268.6719608694677</v>
      </c>
      <c r="Q18" s="9">
        <v>2243.8416211266172</v>
      </c>
      <c r="R18" s="10">
        <v>2420.0521765216567</v>
      </c>
      <c r="S18" s="11">
        <v>2670.6234142971357</v>
      </c>
    </row>
    <row r="19" spans="1:19" ht="16.5" thickTop="1" thickBot="1" x14ac:dyDescent="0.3">
      <c r="A19" s="2">
        <v>2028</v>
      </c>
      <c r="B19" s="27">
        <f t="shared" si="0"/>
        <v>501.75701739290804</v>
      </c>
      <c r="C19" s="27">
        <f t="shared" si="1"/>
        <v>545.93404497720451</v>
      </c>
      <c r="D19" s="27">
        <f t="shared" si="2"/>
        <v>607.06050192258772</v>
      </c>
      <c r="E19" s="27">
        <f t="shared" si="4"/>
        <v>548.83584050078662</v>
      </c>
      <c r="F19" s="27">
        <f t="shared" si="5"/>
        <v>604.01549033635183</v>
      </c>
      <c r="G19" s="27">
        <f t="shared" si="6"/>
        <v>682.48089854256352</v>
      </c>
      <c r="M19" s="2">
        <v>2028</v>
      </c>
      <c r="N19" s="4">
        <v>1031.3234127365695</v>
      </c>
      <c r="O19" s="6">
        <v>1122.1259352195129</v>
      </c>
      <c r="P19" s="8">
        <v>1247.7667214968324</v>
      </c>
      <c r="Q19" s="9">
        <v>2103.1811958983562</v>
      </c>
      <c r="R19" s="10">
        <v>2314.6338623724041</v>
      </c>
      <c r="S19" s="11">
        <v>2615.319347702979</v>
      </c>
    </row>
    <row r="20" spans="1:19" ht="16.5" thickTop="1" thickBot="1" x14ac:dyDescent="0.3">
      <c r="A20" s="2">
        <v>2029</v>
      </c>
      <c r="B20" s="27">
        <f t="shared" si="0"/>
        <v>474.03566922789622</v>
      </c>
      <c r="C20" s="27">
        <f t="shared" si="1"/>
        <v>525.57553474290876</v>
      </c>
      <c r="D20" s="27">
        <f t="shared" si="2"/>
        <v>596.88973451252264</v>
      </c>
      <c r="E20" s="27">
        <f t="shared" si="4"/>
        <v>512.12978642617543</v>
      </c>
      <c r="F20" s="27">
        <f t="shared" si="5"/>
        <v>576.50604456766814</v>
      </c>
      <c r="G20" s="27">
        <f t="shared" si="6"/>
        <v>668.04902080824843</v>
      </c>
      <c r="M20" s="2">
        <v>2029</v>
      </c>
      <c r="N20" s="4">
        <v>974.34428857055696</v>
      </c>
      <c r="O20" s="6">
        <v>1080.2805648006577</v>
      </c>
      <c r="P20" s="8">
        <v>1226.8614821241972</v>
      </c>
      <c r="Q20" s="9">
        <v>1962.5207706700955</v>
      </c>
      <c r="R20" s="10">
        <v>2209.2155482231515</v>
      </c>
      <c r="S20" s="11">
        <v>2560.0152811088219</v>
      </c>
    </row>
    <row r="21" spans="1:19" ht="16.5" thickTop="1" thickBot="1" x14ac:dyDescent="0.3">
      <c r="A21" s="2">
        <v>2030</v>
      </c>
      <c r="B21" s="27">
        <f t="shared" si="0"/>
        <v>446.3143210628844</v>
      </c>
      <c r="C21" s="27">
        <f t="shared" si="1"/>
        <v>505.21702450861301</v>
      </c>
      <c r="D21" s="27">
        <f t="shared" si="2"/>
        <v>586.71896710245744</v>
      </c>
      <c r="E21" s="27">
        <f t="shared" si="4"/>
        <v>475.42373235156413</v>
      </c>
      <c r="F21" s="27">
        <f t="shared" si="5"/>
        <v>548.99659879898468</v>
      </c>
      <c r="G21" s="27">
        <f t="shared" si="6"/>
        <v>653.61714307393345</v>
      </c>
      <c r="M21" s="2">
        <v>2030</v>
      </c>
      <c r="N21" s="4">
        <v>917.36516440454443</v>
      </c>
      <c r="O21" s="6">
        <v>1038.4351943818024</v>
      </c>
      <c r="P21" s="8">
        <v>1205.9562427515618</v>
      </c>
      <c r="Q21" s="9">
        <v>1821.8603454418346</v>
      </c>
      <c r="R21" s="10">
        <v>2103.7972340738993</v>
      </c>
      <c r="S21" s="11">
        <v>2504.7112145146652</v>
      </c>
    </row>
    <row r="22" spans="1:19" ht="16.5" thickTop="1" thickBot="1" x14ac:dyDescent="0.3">
      <c r="A22" s="2">
        <v>2031</v>
      </c>
      <c r="B22" s="27">
        <f t="shared" si="0"/>
        <v>418.5929728978727</v>
      </c>
      <c r="C22" s="27">
        <f t="shared" si="1"/>
        <v>484.85851427431737</v>
      </c>
      <c r="D22" s="27">
        <f t="shared" si="2"/>
        <v>576.54819969239225</v>
      </c>
      <c r="E22" s="27">
        <f t="shared" si="4"/>
        <v>438.717678276953</v>
      </c>
      <c r="F22" s="27">
        <f t="shared" si="5"/>
        <v>521.48715303030099</v>
      </c>
      <c r="G22" s="27">
        <f t="shared" si="6"/>
        <v>639.18526533961835</v>
      </c>
      <c r="M22" s="2">
        <v>2031</v>
      </c>
      <c r="N22" s="4">
        <v>860.38604023853202</v>
      </c>
      <c r="O22" s="6">
        <v>996.58982396294721</v>
      </c>
      <c r="P22" s="8">
        <v>1185.0510033789265</v>
      </c>
      <c r="Q22" s="9">
        <v>1681.1999202135739</v>
      </c>
      <c r="R22" s="10">
        <v>1998.3789199246467</v>
      </c>
      <c r="S22" s="11">
        <v>2449.4071479205081</v>
      </c>
    </row>
    <row r="23" spans="1:19" ht="16.5" thickTop="1" thickBot="1" x14ac:dyDescent="0.3">
      <c r="A23" s="2">
        <v>2032</v>
      </c>
      <c r="B23" s="27">
        <f t="shared" si="0"/>
        <v>390.87162473286088</v>
      </c>
      <c r="C23" s="27">
        <f t="shared" si="1"/>
        <v>464.50000404002168</v>
      </c>
      <c r="D23" s="27">
        <f t="shared" si="2"/>
        <v>566.37743228232705</v>
      </c>
      <c r="E23" s="27">
        <f t="shared" si="4"/>
        <v>402.01162420234169</v>
      </c>
      <c r="F23" s="27">
        <f t="shared" si="5"/>
        <v>493.97770726161747</v>
      </c>
      <c r="G23" s="27">
        <f t="shared" si="6"/>
        <v>624.75338760530337</v>
      </c>
      <c r="M23" s="2">
        <v>2032</v>
      </c>
      <c r="N23" s="4">
        <v>803.40691607251949</v>
      </c>
      <c r="O23" s="6">
        <v>954.74445354409204</v>
      </c>
      <c r="P23" s="8">
        <v>1164.1457640062911</v>
      </c>
      <c r="Q23" s="9">
        <v>1540.539494985313</v>
      </c>
      <c r="R23" s="10">
        <v>1892.9606057753942</v>
      </c>
      <c r="S23" s="11">
        <v>2394.1030813263515</v>
      </c>
    </row>
    <row r="24" spans="1:19" ht="16.5" thickTop="1" thickBot="1" x14ac:dyDescent="0.3">
      <c r="A24" s="2">
        <v>2033</v>
      </c>
      <c r="B24" s="27">
        <f t="shared" si="0"/>
        <v>363.15027656784912</v>
      </c>
      <c r="C24" s="27">
        <f t="shared" si="1"/>
        <v>444.14149380572593</v>
      </c>
      <c r="D24" s="27">
        <f t="shared" si="2"/>
        <v>556.20666487226185</v>
      </c>
      <c r="E24" s="27">
        <f t="shared" si="4"/>
        <v>365.3055701277305</v>
      </c>
      <c r="F24" s="27">
        <f t="shared" si="5"/>
        <v>466.46826149293389</v>
      </c>
      <c r="G24" s="27">
        <f t="shared" si="6"/>
        <v>610.32150987098817</v>
      </c>
      <c r="M24" s="2">
        <v>2033</v>
      </c>
      <c r="N24" s="4">
        <v>746.42779190650708</v>
      </c>
      <c r="O24" s="6">
        <v>912.89908312523676</v>
      </c>
      <c r="P24" s="8">
        <v>1143.2405246336557</v>
      </c>
      <c r="Q24" s="9">
        <v>1399.8790697570523</v>
      </c>
      <c r="R24" s="10">
        <v>1787.5422916261418</v>
      </c>
      <c r="S24" s="11">
        <v>2338.7990147321943</v>
      </c>
    </row>
    <row r="25" spans="1:19" ht="16.5" thickTop="1" thickBot="1" x14ac:dyDescent="0.3">
      <c r="A25" s="2">
        <v>2034</v>
      </c>
      <c r="B25" s="27">
        <f t="shared" si="0"/>
        <v>335.4289284028373</v>
      </c>
      <c r="C25" s="27">
        <f t="shared" si="1"/>
        <v>423.78298357143024</v>
      </c>
      <c r="D25" s="27">
        <f t="shared" si="2"/>
        <v>546.03589746219677</v>
      </c>
      <c r="E25" s="27">
        <f t="shared" si="4"/>
        <v>328.59951605311926</v>
      </c>
      <c r="F25" s="27">
        <f t="shared" si="5"/>
        <v>438.95881572425026</v>
      </c>
      <c r="G25" s="27">
        <f t="shared" si="6"/>
        <v>595.8896321366733</v>
      </c>
      <c r="M25" s="2">
        <v>2034</v>
      </c>
      <c r="N25" s="4">
        <v>689.44866774049456</v>
      </c>
      <c r="O25" s="6">
        <v>871.05371270638148</v>
      </c>
      <c r="P25" s="8">
        <v>1122.3352852610205</v>
      </c>
      <c r="Q25" s="9">
        <v>1259.2186445287914</v>
      </c>
      <c r="R25" s="10">
        <v>1682.1239774768894</v>
      </c>
      <c r="S25" s="11">
        <v>2283.4949481380377</v>
      </c>
    </row>
    <row r="26" spans="1:19" ht="16.5" thickTop="1" thickBot="1" x14ac:dyDescent="0.3">
      <c r="A26" s="2">
        <v>2035</v>
      </c>
      <c r="B26" s="27">
        <f t="shared" si="0"/>
        <v>307.70758023782537</v>
      </c>
      <c r="C26" s="27">
        <f t="shared" si="1"/>
        <v>403.4244733371342</v>
      </c>
      <c r="D26" s="27">
        <f t="shared" si="2"/>
        <v>535.86513005213124</v>
      </c>
      <c r="E26" s="27">
        <f t="shared" si="4"/>
        <v>291.8934619785079</v>
      </c>
      <c r="F26" s="27">
        <f t="shared" si="5"/>
        <v>411.44936995556691</v>
      </c>
      <c r="G26" s="27">
        <f t="shared" si="6"/>
        <v>581.45775440235809</v>
      </c>
      <c r="M26" s="2">
        <v>2035</v>
      </c>
      <c r="N26" s="4">
        <v>632.46954357448169</v>
      </c>
      <c r="O26" s="6">
        <v>829.20834228752562</v>
      </c>
      <c r="P26" s="8">
        <v>1101.4300458883845</v>
      </c>
      <c r="Q26" s="9">
        <v>1118.55821930053</v>
      </c>
      <c r="R26" s="10">
        <v>1576.7056633276379</v>
      </c>
      <c r="S26" s="11">
        <v>2228.1908815438801</v>
      </c>
    </row>
    <row r="27" spans="1:19" ht="16.5" thickTop="1" thickBot="1" x14ac:dyDescent="0.3">
      <c r="A27" s="2">
        <v>2036</v>
      </c>
      <c r="B27" s="27">
        <f t="shared" si="0"/>
        <v>304.09300376734876</v>
      </c>
      <c r="C27" s="27">
        <f t="shared" si="1"/>
        <v>397.04334713051361</v>
      </c>
      <c r="D27" s="27">
        <f t="shared" si="2"/>
        <v>527.03575293779818</v>
      </c>
      <c r="E27" s="27">
        <f t="shared" si="4"/>
        <v>287.61222119319643</v>
      </c>
      <c r="F27" s="27">
        <f t="shared" si="5"/>
        <v>403.47897609042974</v>
      </c>
      <c r="G27" s="27">
        <f t="shared" si="6"/>
        <v>570.12386210590535</v>
      </c>
      <c r="M27" s="2">
        <v>2036</v>
      </c>
      <c r="N27" s="4">
        <v>625.04005636870511</v>
      </c>
      <c r="O27" s="6">
        <v>816.09242237332262</v>
      </c>
      <c r="P27" s="8">
        <v>1083.281932314994</v>
      </c>
      <c r="Q27" s="9">
        <v>1102.1521749967101</v>
      </c>
      <c r="R27" s="10">
        <v>1546.1625003924976</v>
      </c>
      <c r="S27" s="11">
        <v>2184.7585336627976</v>
      </c>
    </row>
    <row r="28" spans="1:19" ht="16.5" thickTop="1" thickBot="1" x14ac:dyDescent="0.3">
      <c r="A28" s="2">
        <v>2037</v>
      </c>
      <c r="B28" s="27">
        <f t="shared" si="0"/>
        <v>300.47842729687216</v>
      </c>
      <c r="C28" s="27">
        <f t="shared" si="1"/>
        <v>390.66222092389302</v>
      </c>
      <c r="D28" s="27">
        <f t="shared" si="2"/>
        <v>518.20637582346512</v>
      </c>
      <c r="E28" s="27">
        <f t="shared" si="4"/>
        <v>283.33098040788491</v>
      </c>
      <c r="F28" s="27">
        <f t="shared" si="5"/>
        <v>395.5085822252924</v>
      </c>
      <c r="G28" s="27">
        <f t="shared" si="6"/>
        <v>558.7899698094526</v>
      </c>
      <c r="M28" s="2">
        <v>2037</v>
      </c>
      <c r="N28" s="4">
        <v>617.61056916292853</v>
      </c>
      <c r="O28" s="6">
        <v>802.97650245911973</v>
      </c>
      <c r="P28" s="8">
        <v>1065.1338187416036</v>
      </c>
      <c r="Q28" s="9">
        <v>1085.7461306928899</v>
      </c>
      <c r="R28" s="10">
        <v>1515.619337457357</v>
      </c>
      <c r="S28" s="11">
        <v>2141.3261857817147</v>
      </c>
    </row>
    <row r="29" spans="1:19" ht="16.5" thickTop="1" thickBot="1" x14ac:dyDescent="0.3">
      <c r="A29" s="2">
        <v>2038</v>
      </c>
      <c r="B29" s="27">
        <f t="shared" si="0"/>
        <v>296.86385082639555</v>
      </c>
      <c r="C29" s="27">
        <f t="shared" si="1"/>
        <v>384.28109471727242</v>
      </c>
      <c r="D29" s="27">
        <f t="shared" si="2"/>
        <v>509.37699870913195</v>
      </c>
      <c r="E29" s="27">
        <f t="shared" si="4"/>
        <v>279.04973962257344</v>
      </c>
      <c r="F29" s="27">
        <f t="shared" si="5"/>
        <v>387.53818836015512</v>
      </c>
      <c r="G29" s="27">
        <f t="shared" si="6"/>
        <v>547.45607751299997</v>
      </c>
      <c r="M29" s="2">
        <v>2038</v>
      </c>
      <c r="N29" s="4">
        <v>610.18108195715195</v>
      </c>
      <c r="O29" s="6">
        <v>789.86058254491684</v>
      </c>
      <c r="P29" s="8">
        <v>1046.9857051682129</v>
      </c>
      <c r="Q29" s="9">
        <v>1069.3400863890699</v>
      </c>
      <c r="R29" s="10">
        <v>1485.0761745222164</v>
      </c>
      <c r="S29" s="11">
        <v>2097.8938379006322</v>
      </c>
    </row>
    <row r="30" spans="1:19" ht="16.5" thickTop="1" thickBot="1" x14ac:dyDescent="0.3">
      <c r="A30" s="2">
        <v>2039</v>
      </c>
      <c r="B30" s="27">
        <f t="shared" si="0"/>
        <v>293.249274355919</v>
      </c>
      <c r="C30" s="27">
        <f t="shared" si="1"/>
        <v>377.89996851065189</v>
      </c>
      <c r="D30" s="27">
        <f t="shared" si="2"/>
        <v>500.5476215947989</v>
      </c>
      <c r="E30" s="27">
        <f t="shared" si="4"/>
        <v>274.76849883726192</v>
      </c>
      <c r="F30" s="27">
        <f t="shared" si="5"/>
        <v>379.56779449501789</v>
      </c>
      <c r="G30" s="27">
        <f t="shared" si="6"/>
        <v>536.12218521654711</v>
      </c>
      <c r="M30" s="2">
        <v>2039</v>
      </c>
      <c r="N30" s="4">
        <v>602.75159475137548</v>
      </c>
      <c r="O30" s="6">
        <v>776.74466263071395</v>
      </c>
      <c r="P30" s="8">
        <v>1028.8375915948225</v>
      </c>
      <c r="Q30" s="9">
        <v>1052.9340420852498</v>
      </c>
      <c r="R30" s="10">
        <v>1454.5330115870761</v>
      </c>
      <c r="S30" s="11">
        <v>2054.4614900195493</v>
      </c>
    </row>
    <row r="31" spans="1:19" ht="16.5" thickTop="1" thickBot="1" x14ac:dyDescent="0.3">
      <c r="A31" s="2">
        <v>2040</v>
      </c>
      <c r="B31" s="27">
        <f t="shared" si="0"/>
        <v>289.63469788544234</v>
      </c>
      <c r="C31" s="27">
        <f t="shared" si="1"/>
        <v>371.51884230403124</v>
      </c>
      <c r="D31" s="27">
        <f t="shared" si="2"/>
        <v>491.71824448046567</v>
      </c>
      <c r="E31" s="27">
        <f t="shared" si="4"/>
        <v>270.48725805195039</v>
      </c>
      <c r="F31" s="27">
        <f t="shared" si="5"/>
        <v>371.59740062988061</v>
      </c>
      <c r="G31" s="27">
        <f t="shared" si="6"/>
        <v>524.78829292009448</v>
      </c>
      <c r="M31" s="2">
        <v>2040</v>
      </c>
      <c r="N31" s="4">
        <v>595.32210754559878</v>
      </c>
      <c r="O31" s="6">
        <v>763.62874271651094</v>
      </c>
      <c r="P31" s="8">
        <v>1010.6894780214318</v>
      </c>
      <c r="Q31" s="9">
        <v>1036.5279977814296</v>
      </c>
      <c r="R31" s="10">
        <v>1423.9898486519355</v>
      </c>
      <c r="S31" s="11">
        <v>2011.0291421384666</v>
      </c>
    </row>
    <row r="32" spans="1:19" ht="16.5" thickTop="1" thickBot="1" x14ac:dyDescent="0.3">
      <c r="A32" s="2">
        <v>2041</v>
      </c>
      <c r="B32" s="27">
        <f t="shared" si="0"/>
        <v>286.02012141496584</v>
      </c>
      <c r="C32" s="27">
        <f t="shared" si="1"/>
        <v>365.13771609741065</v>
      </c>
      <c r="D32" s="27">
        <f t="shared" si="2"/>
        <v>482.88886736613256</v>
      </c>
      <c r="E32" s="27">
        <f t="shared" si="4"/>
        <v>266.20601726663892</v>
      </c>
      <c r="F32" s="27">
        <f t="shared" si="5"/>
        <v>363.62700676474344</v>
      </c>
      <c r="G32" s="27">
        <f t="shared" si="6"/>
        <v>513.45440062364173</v>
      </c>
      <c r="M32" s="2">
        <v>2041</v>
      </c>
      <c r="N32" s="4">
        <v>587.89262033982232</v>
      </c>
      <c r="O32" s="6">
        <v>750.51282280230805</v>
      </c>
      <c r="P32" s="8">
        <v>992.54136444804124</v>
      </c>
      <c r="Q32" s="9">
        <v>1020.1219534776096</v>
      </c>
      <c r="R32" s="10">
        <v>1393.4466857167952</v>
      </c>
      <c r="S32" s="11">
        <v>1967.5967942573839</v>
      </c>
    </row>
    <row r="33" spans="1:19" ht="16.5" thickTop="1" thickBot="1" x14ac:dyDescent="0.3">
      <c r="A33" s="2">
        <v>2042</v>
      </c>
      <c r="B33" s="27">
        <f t="shared" si="0"/>
        <v>282.40554494448924</v>
      </c>
      <c r="C33" s="27">
        <f t="shared" si="1"/>
        <v>358.75658989079011</v>
      </c>
      <c r="D33" s="27">
        <f t="shared" si="2"/>
        <v>474.05949025179939</v>
      </c>
      <c r="E33" s="27">
        <f t="shared" si="4"/>
        <v>261.92477648132746</v>
      </c>
      <c r="F33" s="27">
        <f t="shared" si="5"/>
        <v>355.6566128996061</v>
      </c>
      <c r="G33" s="27">
        <f t="shared" si="6"/>
        <v>502.12050832718899</v>
      </c>
      <c r="M33" s="2">
        <v>2042</v>
      </c>
      <c r="N33" s="4">
        <v>580.46313313404573</v>
      </c>
      <c r="O33" s="6">
        <v>737.39690288810516</v>
      </c>
      <c r="P33" s="8">
        <v>974.39325087465056</v>
      </c>
      <c r="Q33" s="9">
        <v>1003.7159091737896</v>
      </c>
      <c r="R33" s="10">
        <v>1362.9035227816546</v>
      </c>
      <c r="S33" s="11">
        <v>1924.1644463763009</v>
      </c>
    </row>
    <row r="34" spans="1:19" ht="16.5" thickTop="1" thickBot="1" x14ac:dyDescent="0.3">
      <c r="A34" s="2">
        <v>2043</v>
      </c>
      <c r="B34" s="27">
        <f t="shared" si="0"/>
        <v>278.79096847401252</v>
      </c>
      <c r="C34" s="27">
        <f t="shared" si="1"/>
        <v>352.37546368416946</v>
      </c>
      <c r="D34" s="27">
        <f t="shared" si="2"/>
        <v>465.23011313746633</v>
      </c>
      <c r="E34" s="27">
        <f t="shared" si="4"/>
        <v>257.64353569601599</v>
      </c>
      <c r="F34" s="27">
        <f t="shared" si="5"/>
        <v>347.68621903446882</v>
      </c>
      <c r="G34" s="27">
        <f t="shared" si="6"/>
        <v>490.78661603073624</v>
      </c>
      <c r="M34" s="2">
        <v>2043</v>
      </c>
      <c r="N34" s="4">
        <v>573.03364592826892</v>
      </c>
      <c r="O34" s="6">
        <v>724.28098297390216</v>
      </c>
      <c r="P34" s="8">
        <v>956.24513730126012</v>
      </c>
      <c r="Q34" s="9">
        <v>987.30986486996949</v>
      </c>
      <c r="R34" s="10">
        <v>1332.360359846514</v>
      </c>
      <c r="S34" s="11">
        <v>1880.7320984952182</v>
      </c>
    </row>
    <row r="35" spans="1:19" ht="16.5" thickTop="1" thickBot="1" x14ac:dyDescent="0.3">
      <c r="A35" s="2">
        <v>2044</v>
      </c>
      <c r="B35" s="27">
        <f t="shared" si="0"/>
        <v>275.17639200353597</v>
      </c>
      <c r="C35" s="27">
        <f t="shared" si="1"/>
        <v>345.99433747754892</v>
      </c>
      <c r="D35" s="27">
        <f t="shared" si="2"/>
        <v>456.40073602313322</v>
      </c>
      <c r="E35" s="27">
        <f t="shared" si="4"/>
        <v>253.36229491070452</v>
      </c>
      <c r="F35" s="27">
        <f t="shared" si="5"/>
        <v>339.71582516933159</v>
      </c>
      <c r="G35" s="27">
        <f t="shared" si="6"/>
        <v>479.4527237342835</v>
      </c>
      <c r="M35" s="2">
        <v>2044</v>
      </c>
      <c r="N35" s="4">
        <v>565.60415872249246</v>
      </c>
      <c r="O35" s="6">
        <v>711.16506305969938</v>
      </c>
      <c r="P35" s="8">
        <v>938.09702372786955</v>
      </c>
      <c r="Q35" s="9">
        <v>970.90382056614953</v>
      </c>
      <c r="R35" s="10">
        <v>1301.8171969113737</v>
      </c>
      <c r="S35" s="11">
        <v>1837.2997506141355</v>
      </c>
    </row>
    <row r="36" spans="1:19" ht="16.5" thickTop="1" thickBot="1" x14ac:dyDescent="0.3">
      <c r="A36" s="2">
        <v>2045</v>
      </c>
      <c r="B36" s="27">
        <f t="shared" si="0"/>
        <v>271.5618155330593</v>
      </c>
      <c r="C36" s="27">
        <f t="shared" si="1"/>
        <v>339.61321127092833</v>
      </c>
      <c r="D36" s="27">
        <f t="shared" si="2"/>
        <v>447.57135890880005</v>
      </c>
      <c r="E36" s="27">
        <f t="shared" si="4"/>
        <v>249.08105412539311</v>
      </c>
      <c r="F36" s="27">
        <f t="shared" si="5"/>
        <v>331.74543130419437</v>
      </c>
      <c r="G36" s="27">
        <f t="shared" si="6"/>
        <v>468.11883143783081</v>
      </c>
      <c r="M36" s="2">
        <v>2045</v>
      </c>
      <c r="N36" s="4">
        <v>558.17467151671576</v>
      </c>
      <c r="O36" s="6">
        <v>698.04914314549637</v>
      </c>
      <c r="P36" s="8">
        <v>919.94891015447888</v>
      </c>
      <c r="Q36" s="9">
        <v>954.49777626232958</v>
      </c>
      <c r="R36" s="10">
        <v>1271.2740339762331</v>
      </c>
      <c r="S36" s="11">
        <v>1793.8674027330528</v>
      </c>
    </row>
    <row r="37" spans="1:19" ht="16.5" thickTop="1" thickBot="1" x14ac:dyDescent="0.3">
      <c r="A37" s="2">
        <v>2046</v>
      </c>
      <c r="B37" s="27">
        <f t="shared" si="0"/>
        <v>267.94723906258275</v>
      </c>
      <c r="C37" s="27">
        <f t="shared" si="1"/>
        <v>333.23208506430774</v>
      </c>
      <c r="D37" s="27">
        <f t="shared" si="2"/>
        <v>438.74198179446694</v>
      </c>
      <c r="E37" s="27">
        <f t="shared" si="4"/>
        <v>244.79981334008161</v>
      </c>
      <c r="F37" s="27">
        <f t="shared" si="5"/>
        <v>323.77503743905714</v>
      </c>
      <c r="G37" s="27">
        <f t="shared" si="6"/>
        <v>456.78493914137817</v>
      </c>
      <c r="M37" s="2">
        <v>2046</v>
      </c>
      <c r="N37" s="4">
        <v>550.74518431093929</v>
      </c>
      <c r="O37" s="6">
        <v>684.93322323129348</v>
      </c>
      <c r="P37" s="8">
        <v>901.80079658108832</v>
      </c>
      <c r="Q37" s="9">
        <v>938.09173195850963</v>
      </c>
      <c r="R37" s="10">
        <v>1240.7308710410928</v>
      </c>
      <c r="S37" s="11">
        <v>1750.4350548519701</v>
      </c>
    </row>
    <row r="38" spans="1:19" ht="16.5" thickTop="1" thickBot="1" x14ac:dyDescent="0.3">
      <c r="A38" s="2">
        <v>2047</v>
      </c>
      <c r="B38" s="27">
        <f t="shared" si="0"/>
        <v>264.3326625921062</v>
      </c>
      <c r="C38" s="27">
        <f t="shared" si="1"/>
        <v>326.85095885768715</v>
      </c>
      <c r="D38" s="27">
        <f t="shared" si="2"/>
        <v>429.91260468013382</v>
      </c>
      <c r="E38" s="27">
        <f t="shared" si="4"/>
        <v>240.51857255477015</v>
      </c>
      <c r="F38" s="27">
        <f t="shared" si="5"/>
        <v>315.80464357391986</v>
      </c>
      <c r="G38" s="27">
        <f t="shared" si="6"/>
        <v>445.45104684492543</v>
      </c>
      <c r="M38" s="2">
        <v>2047</v>
      </c>
      <c r="N38" s="4">
        <v>543.31569710516271</v>
      </c>
      <c r="O38" s="6">
        <v>671.81730331709059</v>
      </c>
      <c r="P38" s="8">
        <v>883.65268300769787</v>
      </c>
      <c r="Q38" s="9">
        <v>921.68568765468956</v>
      </c>
      <c r="R38" s="10">
        <v>1210.1877081059522</v>
      </c>
      <c r="S38" s="11">
        <v>1707.0027069708874</v>
      </c>
    </row>
    <row r="39" spans="1:19" ht="16.5" thickTop="1" thickBot="1" x14ac:dyDescent="0.3">
      <c r="A39" s="2">
        <v>2048</v>
      </c>
      <c r="B39" s="27">
        <f t="shared" si="0"/>
        <v>260.7180861216296</v>
      </c>
      <c r="C39" s="27">
        <f t="shared" si="1"/>
        <v>320.46983265106655</v>
      </c>
      <c r="D39" s="27">
        <f t="shared" si="2"/>
        <v>421.08322756580066</v>
      </c>
      <c r="E39" s="27">
        <f t="shared" si="4"/>
        <v>236.23733176945868</v>
      </c>
      <c r="F39" s="27">
        <f t="shared" si="5"/>
        <v>307.83424970878264</v>
      </c>
      <c r="G39" s="27">
        <f t="shared" si="6"/>
        <v>434.11715454847263</v>
      </c>
      <c r="M39" s="2">
        <v>2048</v>
      </c>
      <c r="N39" s="4">
        <v>535.88620989938613</v>
      </c>
      <c r="O39" s="6">
        <v>658.70138340288759</v>
      </c>
      <c r="P39" s="8">
        <v>865.5045694343072</v>
      </c>
      <c r="Q39" s="9">
        <v>905.27964335086961</v>
      </c>
      <c r="R39" s="10">
        <v>1179.6445451708119</v>
      </c>
      <c r="S39" s="11">
        <v>1663.5703590898045</v>
      </c>
    </row>
    <row r="40" spans="1:19" ht="16.5" thickTop="1" thickBot="1" x14ac:dyDescent="0.3">
      <c r="A40" s="2">
        <v>2049</v>
      </c>
      <c r="B40" s="27">
        <f t="shared" si="0"/>
        <v>257.10350965115299</v>
      </c>
      <c r="C40" s="27">
        <f t="shared" si="1"/>
        <v>314.08870644444602</v>
      </c>
      <c r="D40" s="27">
        <f t="shared" si="2"/>
        <v>412.25385045146754</v>
      </c>
      <c r="E40" s="27">
        <f t="shared" si="4"/>
        <v>231.95609098414721</v>
      </c>
      <c r="F40" s="27">
        <f t="shared" si="5"/>
        <v>299.8638558436453</v>
      </c>
      <c r="G40" s="27">
        <f t="shared" si="6"/>
        <v>422.78326225201988</v>
      </c>
      <c r="M40" s="2">
        <v>2049</v>
      </c>
      <c r="N40" s="4">
        <v>528.45672269360955</v>
      </c>
      <c r="O40" s="6">
        <v>645.58546348868481</v>
      </c>
      <c r="P40" s="8">
        <v>847.35645586091664</v>
      </c>
      <c r="Q40" s="9">
        <v>888.87359904704965</v>
      </c>
      <c r="R40" s="10">
        <v>1149.1013822356713</v>
      </c>
      <c r="S40" s="11">
        <v>1620.1380112087218</v>
      </c>
    </row>
    <row r="41" spans="1:19" ht="16.5" thickTop="1" thickBot="1" x14ac:dyDescent="0.3">
      <c r="A41" s="2">
        <v>2050</v>
      </c>
      <c r="B41" s="27">
        <f t="shared" si="0"/>
        <v>253.4889331806761</v>
      </c>
      <c r="C41" s="27">
        <f t="shared" si="1"/>
        <v>307.70758023782537</v>
      </c>
      <c r="D41" s="27">
        <f t="shared" si="2"/>
        <v>403.4244733371342</v>
      </c>
      <c r="E41" s="27">
        <f t="shared" si="4"/>
        <v>227.67485019883594</v>
      </c>
      <c r="F41" s="27">
        <f t="shared" si="5"/>
        <v>291.8934619785079</v>
      </c>
      <c r="G41" s="27">
        <f t="shared" si="6"/>
        <v>411.44936995556691</v>
      </c>
      <c r="M41" s="2">
        <v>2050</v>
      </c>
      <c r="N41" s="4">
        <v>521.0272354878324</v>
      </c>
      <c r="O41" s="6">
        <v>632.46954357448169</v>
      </c>
      <c r="P41" s="8">
        <v>829.20834228752562</v>
      </c>
      <c r="Q41" s="9">
        <v>872.46755474323038</v>
      </c>
      <c r="R41" s="10">
        <v>1118.55821930053</v>
      </c>
      <c r="S41" s="11">
        <v>1576.7056633276379</v>
      </c>
    </row>
    <row r="42" spans="1:19" ht="15.75" thickTop="1" x14ac:dyDescent="0.25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4"/>
  <sheetViews>
    <sheetView workbookViewId="0">
      <selection activeCell="K13" sqref="K13"/>
    </sheetView>
  </sheetViews>
  <sheetFormatPr defaultRowHeight="15" x14ac:dyDescent="0.25"/>
  <sheetData>
    <row r="1" spans="1:31" x14ac:dyDescent="0.25">
      <c r="A1" s="1" t="s">
        <v>9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</row>
    <row r="2" spans="1:31" x14ac:dyDescent="0.25">
      <c r="A2" s="3" t="s">
        <v>6</v>
      </c>
      <c r="B2" s="4">
        <v>3149.9375586912693</v>
      </c>
      <c r="C2" s="4">
        <v>3327.1977155792283</v>
      </c>
      <c r="D2" s="4">
        <v>3068.7789312655427</v>
      </c>
      <c r="E2" s="4">
        <v>2765.6387916846588</v>
      </c>
      <c r="F2" s="4">
        <v>2689.1718505301501</v>
      </c>
      <c r="G2" s="4">
        <v>2624.5199729872238</v>
      </c>
      <c r="H2" s="4">
        <v>2568.5159692827233</v>
      </c>
      <c r="I2" s="4">
        <v>2519.1169370733032</v>
      </c>
      <c r="J2" s="4">
        <v>2474.9279969803852</v>
      </c>
      <c r="K2" s="4">
        <v>2434.9542383164039</v>
      </c>
      <c r="L2" s="4">
        <v>2398.4610558258769</v>
      </c>
      <c r="M2" s="4">
        <v>2364.8905821794892</v>
      </c>
      <c r="N2" s="4">
        <v>2333.8091782829511</v>
      </c>
      <c r="O2" s="4">
        <v>2304.8730835235397</v>
      </c>
      <c r="P2" s="4">
        <v>2277.8051745784501</v>
      </c>
      <c r="Q2" s="4">
        <v>2252.3787824914698</v>
      </c>
      <c r="R2" s="4">
        <v>2228.4061423690309</v>
      </c>
      <c r="S2" s="4">
        <v>2205.7299701162115</v>
      </c>
      <c r="T2" s="4">
        <v>2184.2172022761124</v>
      </c>
      <c r="U2" s="4">
        <v>2163.7542648261046</v>
      </c>
      <c r="V2" s="4">
        <v>2144.2434436121307</v>
      </c>
      <c r="W2" s="4">
        <v>2125.6000622561924</v>
      </c>
      <c r="X2" s="4">
        <v>2107.7502611216041</v>
      </c>
      <c r="Y2" s="4">
        <v>2090.6292299737743</v>
      </c>
      <c r="Z2" s="4">
        <v>2074.1797874752165</v>
      </c>
      <c r="AA2" s="4">
        <v>2058.3512289121845</v>
      </c>
      <c r="AB2" s="4">
        <v>2043.0983835786772</v>
      </c>
      <c r="AC2" s="4">
        <v>2028.3808376437507</v>
      </c>
      <c r="AD2" s="4">
        <v>2014.162288819266</v>
      </c>
      <c r="AE2" s="4">
        <v>2000.4100068819964</v>
      </c>
    </row>
    <row r="3" spans="1:31" x14ac:dyDescent="0.25">
      <c r="A3" s="5" t="s">
        <v>7</v>
      </c>
      <c r="B3" s="6">
        <v>3396.2021091379788</v>
      </c>
      <c r="C3" s="6">
        <v>3613.2632930095092</v>
      </c>
      <c r="D3" s="6">
        <v>3351.3293425835445</v>
      </c>
      <c r="E3" s="6">
        <v>3034.3653473246327</v>
      </c>
      <c r="F3" s="6">
        <v>2962.367847596398</v>
      </c>
      <c r="G3" s="6">
        <v>2901.4948289356771</v>
      </c>
      <c r="H3" s="6">
        <v>2848.7642216874096</v>
      </c>
      <c r="I3" s="6">
        <v>2802.2525297801026</v>
      </c>
      <c r="J3" s="6">
        <v>2760.6464035993472</v>
      </c>
      <c r="K3" s="6">
        <v>2723.0090843200105</v>
      </c>
      <c r="L3" s="6">
        <v>2688.6489038711134</v>
      </c>
      <c r="M3" s="6">
        <v>2657.0406018945937</v>
      </c>
      <c r="N3" s="6">
        <v>2627.7758852103925</v>
      </c>
      <c r="O3" s="6">
        <v>2600.5310857830518</v>
      </c>
      <c r="P3" s="6">
        <v>2575.0452779621241</v>
      </c>
      <c r="Q3" s="6">
        <v>2551.1050414398692</v>
      </c>
      <c r="R3" s="6">
        <v>2528.533586054818</v>
      </c>
      <c r="S3" s="6">
        <v>2507.1828208619104</v>
      </c>
      <c r="T3" s="6">
        <v>2486.9274598740631</v>
      </c>
      <c r="U3" s="6">
        <v>2467.6605673940962</v>
      </c>
      <c r="V3" s="6">
        <v>2449.2901405947259</v>
      </c>
      <c r="W3" s="6">
        <v>2431.736452375455</v>
      </c>
      <c r="X3" s="6">
        <v>2414.9299601458288</v>
      </c>
      <c r="Y3" s="6">
        <v>2398.8096417860011</v>
      </c>
      <c r="Z3" s="6">
        <v>2383.3216581693086</v>
      </c>
      <c r="AA3" s="6">
        <v>2368.4182682385217</v>
      </c>
      <c r="AB3" s="6">
        <v>2354.0569414851079</v>
      </c>
      <c r="AC3" s="6">
        <v>2340.1996262394373</v>
      </c>
      <c r="AD3" s="6">
        <v>2326.8121420577668</v>
      </c>
      <c r="AE3" s="6">
        <v>2313.8636717764653</v>
      </c>
    </row>
    <row r="4" spans="1:31" ht="15.75" thickBot="1" x14ac:dyDescent="0.3">
      <c r="A4" s="7" t="s">
        <v>8</v>
      </c>
      <c r="B4" s="8">
        <v>3870.7653676532223</v>
      </c>
      <c r="C4" s="8">
        <v>4185.5617570134109</v>
      </c>
      <c r="D4" s="8">
        <v>3930.3862905026176</v>
      </c>
      <c r="E4" s="8">
        <v>3594.7913689644406</v>
      </c>
      <c r="F4" s="8">
        <v>3539.878656955801</v>
      </c>
      <c r="G4" s="8">
        <v>3493.450620490225</v>
      </c>
      <c r="H4" s="8">
        <v>3453.2328259724336</v>
      </c>
      <c r="I4" s="8">
        <v>3417.7582170987735</v>
      </c>
      <c r="J4" s="8">
        <v>3386.0250981240465</v>
      </c>
      <c r="K4" s="8">
        <v>3357.3190002433589</v>
      </c>
      <c r="L4" s="8">
        <v>3331.1123861154065</v>
      </c>
      <c r="M4" s="8">
        <v>3307.0046380676213</v>
      </c>
      <c r="N4" s="8">
        <v>3284.6843496498304</v>
      </c>
      <c r="O4" s="8">
        <v>3263.9046582670189</v>
      </c>
      <c r="P4" s="8">
        <v>3244.4665551320395</v>
      </c>
      <c r="Q4" s="8">
        <v>3226.2072639271005</v>
      </c>
      <c r="R4" s="8">
        <v>3208.9919462583794</v>
      </c>
      <c r="S4" s="8">
        <v>3192.7076527116901</v>
      </c>
      <c r="T4" s="8">
        <v>3177.2588272836524</v>
      </c>
      <c r="U4" s="8">
        <v>3162.5639097928033</v>
      </c>
      <c r="V4" s="8">
        <v>3148.5527294029648</v>
      </c>
      <c r="W4" s="8">
        <v>3135.1644780121142</v>
      </c>
      <c r="X4" s="8">
        <v>3122.3461152750119</v>
      </c>
      <c r="Y4" s="8">
        <v>3110.0510994352649</v>
      </c>
      <c r="Z4" s="8">
        <v>3098.2383672272272</v>
      </c>
      <c r="AA4" s="8">
        <v>3086.8715064013518</v>
      </c>
      <c r="AB4" s="8">
        <v>3075.9180788094359</v>
      </c>
      <c r="AC4" s="8">
        <v>3065.3490623273256</v>
      </c>
      <c r="AD4" s="8">
        <v>3055.1383874266244</v>
      </c>
      <c r="AE4" s="8">
        <v>3045.2625497629083</v>
      </c>
    </row>
    <row r="5" spans="1:31" ht="15.75" thickTop="1" x14ac:dyDescent="0.25"/>
    <row r="12" spans="1:31" x14ac:dyDescent="0.25">
      <c r="A12" s="1" t="s">
        <v>9</v>
      </c>
      <c r="B12" s="3" t="s">
        <v>6</v>
      </c>
      <c r="C12" s="5" t="s">
        <v>7</v>
      </c>
      <c r="D12" s="7" t="s">
        <v>8</v>
      </c>
      <c r="G12" s="13" t="s">
        <v>36</v>
      </c>
      <c r="H12">
        <v>2857</v>
      </c>
      <c r="J12" s="3" t="s">
        <v>6</v>
      </c>
      <c r="K12" s="5" t="s">
        <v>7</v>
      </c>
      <c r="L12" s="7" t="s">
        <v>8</v>
      </c>
    </row>
    <row r="13" spans="1:31" ht="15.75" thickBot="1" x14ac:dyDescent="0.3">
      <c r="A13" s="2">
        <v>2020</v>
      </c>
      <c r="B13" s="4">
        <v>3149.9375586912693</v>
      </c>
      <c r="C13" s="6">
        <v>3396.2021091379788</v>
      </c>
      <c r="D13" s="8">
        <v>3870.7653676532223</v>
      </c>
      <c r="J13">
        <f t="shared" ref="J13:J43" si="0">$H$12/B$13*B13</f>
        <v>2857</v>
      </c>
      <c r="K13">
        <f t="shared" ref="K13:K43" si="1">$H$12/C$13*C13</f>
        <v>2857</v>
      </c>
      <c r="L13">
        <f t="shared" ref="L13:L43" si="2">$H$12/D$13*D13</f>
        <v>2857</v>
      </c>
    </row>
    <row r="14" spans="1:31" ht="16.5" thickTop="1" thickBot="1" x14ac:dyDescent="0.3">
      <c r="A14" s="2">
        <v>2021</v>
      </c>
      <c r="B14" s="4">
        <v>3149.9375586912693</v>
      </c>
      <c r="C14" s="6">
        <v>3396.2021091379788</v>
      </c>
      <c r="D14" s="8">
        <v>3870.7653676532223</v>
      </c>
      <c r="J14">
        <f t="shared" si="0"/>
        <v>2857</v>
      </c>
      <c r="K14">
        <f t="shared" si="1"/>
        <v>2857</v>
      </c>
      <c r="L14">
        <f t="shared" si="2"/>
        <v>2857</v>
      </c>
    </row>
    <row r="15" spans="1:31" ht="16.5" thickTop="1" thickBot="1" x14ac:dyDescent="0.3">
      <c r="A15" s="2">
        <v>2022</v>
      </c>
      <c r="B15" s="4">
        <v>3327.1977155792283</v>
      </c>
      <c r="C15" s="6">
        <v>3613.2632930095092</v>
      </c>
      <c r="D15" s="8">
        <v>4185.5617570134109</v>
      </c>
      <c r="J15">
        <f t="shared" si="0"/>
        <v>3017.7753356353228</v>
      </c>
      <c r="K15">
        <f t="shared" si="1"/>
        <v>3039.5992041676127</v>
      </c>
      <c r="L15">
        <f t="shared" si="2"/>
        <v>3089.3502457467048</v>
      </c>
    </row>
    <row r="16" spans="1:31" ht="16.5" thickTop="1" thickBot="1" x14ac:dyDescent="0.3">
      <c r="A16" s="2">
        <v>2023</v>
      </c>
      <c r="B16" s="4">
        <v>3068.7789312655427</v>
      </c>
      <c r="C16" s="6">
        <v>3351.3293425835445</v>
      </c>
      <c r="D16" s="8">
        <v>3930.3862905026176</v>
      </c>
      <c r="J16">
        <f t="shared" si="0"/>
        <v>2783.3889539919523</v>
      </c>
      <c r="K16">
        <f t="shared" si="1"/>
        <v>2819.2515121520378</v>
      </c>
      <c r="L16">
        <f t="shared" si="2"/>
        <v>2901.0060195857327</v>
      </c>
    </row>
    <row r="17" spans="1:12" ht="16.5" thickTop="1" thickBot="1" x14ac:dyDescent="0.3">
      <c r="A17" s="2">
        <v>2024</v>
      </c>
      <c r="B17" s="4">
        <v>2765.6387916846588</v>
      </c>
      <c r="C17" s="6">
        <v>3034.3653473246327</v>
      </c>
      <c r="D17" s="8">
        <v>3594.7913689644406</v>
      </c>
      <c r="J17">
        <f t="shared" si="0"/>
        <v>2508.4402089309806</v>
      </c>
      <c r="K17">
        <f t="shared" si="1"/>
        <v>2552.6106865020702</v>
      </c>
      <c r="L17">
        <f t="shared" si="2"/>
        <v>2653.3044412759441</v>
      </c>
    </row>
    <row r="18" spans="1:12" ht="16.5" thickTop="1" thickBot="1" x14ac:dyDescent="0.3">
      <c r="A18" s="2">
        <v>2025</v>
      </c>
      <c r="B18" s="4">
        <v>2689.1718505301501</v>
      </c>
      <c r="C18" s="6">
        <v>2962.367847596398</v>
      </c>
      <c r="D18" s="8">
        <v>3539.878656955801</v>
      </c>
      <c r="J18">
        <f t="shared" si="0"/>
        <v>2439.084532252361</v>
      </c>
      <c r="K18">
        <f t="shared" si="1"/>
        <v>2492.0439563389541</v>
      </c>
      <c r="L18">
        <f t="shared" si="2"/>
        <v>2612.7735376154619</v>
      </c>
    </row>
    <row r="19" spans="1:12" ht="16.5" thickTop="1" thickBot="1" x14ac:dyDescent="0.3">
      <c r="A19" s="2">
        <v>2026</v>
      </c>
      <c r="B19" s="4">
        <v>2624.5199729872238</v>
      </c>
      <c r="C19" s="6">
        <v>2901.4948289356771</v>
      </c>
      <c r="D19" s="8">
        <v>3493.450620490225</v>
      </c>
      <c r="J19">
        <f t="shared" si="0"/>
        <v>2380.4451431538409</v>
      </c>
      <c r="K19">
        <f t="shared" si="1"/>
        <v>2440.8355156381672</v>
      </c>
      <c r="L19">
        <f t="shared" si="2"/>
        <v>2578.5051468494853</v>
      </c>
    </row>
    <row r="20" spans="1:12" ht="16.5" thickTop="1" thickBot="1" x14ac:dyDescent="0.3">
      <c r="A20" s="2">
        <v>2027</v>
      </c>
      <c r="B20" s="4">
        <v>2568.5159692827233</v>
      </c>
      <c r="C20" s="6">
        <v>2848.7642216874096</v>
      </c>
      <c r="D20" s="8">
        <v>3453.2328259724336</v>
      </c>
      <c r="J20">
        <f t="shared" si="0"/>
        <v>2329.6493938405638</v>
      </c>
      <c r="K20">
        <f t="shared" si="1"/>
        <v>2396.4767466170447</v>
      </c>
      <c r="L20">
        <f t="shared" si="2"/>
        <v>2548.8205165441891</v>
      </c>
    </row>
    <row r="21" spans="1:12" ht="16.5" thickTop="1" thickBot="1" x14ac:dyDescent="0.3">
      <c r="A21" s="2">
        <v>2028</v>
      </c>
      <c r="B21" s="4">
        <v>2519.1169370733032</v>
      </c>
      <c r="C21" s="6">
        <v>2802.2525297801026</v>
      </c>
      <c r="D21" s="8">
        <v>3417.7582170987735</v>
      </c>
      <c r="J21">
        <f t="shared" si="0"/>
        <v>2284.8443675844396</v>
      </c>
      <c r="K21">
        <f t="shared" si="1"/>
        <v>2357.3495393693865</v>
      </c>
      <c r="L21">
        <f t="shared" si="2"/>
        <v>2522.6368169588291</v>
      </c>
    </row>
    <row r="22" spans="1:12" ht="16.5" thickTop="1" thickBot="1" x14ac:dyDescent="0.3">
      <c r="A22" s="2">
        <v>2029</v>
      </c>
      <c r="B22" s="4">
        <v>2474.9279969803852</v>
      </c>
      <c r="C22" s="6">
        <v>2760.6464035993472</v>
      </c>
      <c r="D22" s="8">
        <v>3386.0250981240465</v>
      </c>
      <c r="J22">
        <f t="shared" si="0"/>
        <v>2244.7649058512616</v>
      </c>
      <c r="K22">
        <f t="shared" si="1"/>
        <v>2322.3490598105918</v>
      </c>
      <c r="L22">
        <f t="shared" si="2"/>
        <v>2499.2146995480389</v>
      </c>
    </row>
    <row r="23" spans="1:12" ht="16.5" thickTop="1" thickBot="1" x14ac:dyDescent="0.3">
      <c r="A23" s="2">
        <v>2030</v>
      </c>
      <c r="B23" s="4">
        <v>2434.9542383164039</v>
      </c>
      <c r="C23" s="6">
        <v>2723.0090843200105</v>
      </c>
      <c r="D23" s="8">
        <v>3357.3190002433589</v>
      </c>
      <c r="J23">
        <f t="shared" si="0"/>
        <v>2208.5086225519685</v>
      </c>
      <c r="K23">
        <f t="shared" si="1"/>
        <v>2290.687274756122</v>
      </c>
      <c r="L23">
        <f t="shared" si="2"/>
        <v>2478.0268170867344</v>
      </c>
    </row>
    <row r="24" spans="1:12" ht="16.5" thickTop="1" thickBot="1" x14ac:dyDescent="0.3">
      <c r="A24" s="2">
        <v>2031</v>
      </c>
      <c r="B24" s="4">
        <v>2398.4610558258769</v>
      </c>
      <c r="C24" s="6">
        <v>2688.6489038711134</v>
      </c>
      <c r="D24" s="8">
        <v>3331.1123861154065</v>
      </c>
      <c r="J24">
        <f t="shared" si="0"/>
        <v>2175.4092291726429</v>
      </c>
      <c r="K24">
        <f t="shared" si="1"/>
        <v>2261.7823296474762</v>
      </c>
      <c r="L24">
        <f t="shared" si="2"/>
        <v>2458.6837958875562</v>
      </c>
    </row>
    <row r="25" spans="1:12" ht="16.5" thickTop="1" thickBot="1" x14ac:dyDescent="0.3">
      <c r="A25" s="2">
        <v>2032</v>
      </c>
      <c r="B25" s="4">
        <v>2364.8905821794892</v>
      </c>
      <c r="C25" s="6">
        <v>2657.0406018945937</v>
      </c>
      <c r="D25" s="8">
        <v>3307.0046380676213</v>
      </c>
      <c r="J25">
        <f t="shared" si="0"/>
        <v>2144.9607388706386</v>
      </c>
      <c r="K25">
        <f t="shared" si="1"/>
        <v>2235.1923577185567</v>
      </c>
      <c r="L25">
        <f t="shared" si="2"/>
        <v>2440.8899412798614</v>
      </c>
    </row>
    <row r="26" spans="1:12" ht="16.5" thickTop="1" thickBot="1" x14ac:dyDescent="0.3">
      <c r="A26" s="2">
        <v>2033</v>
      </c>
      <c r="B26" s="4">
        <v>2333.8091782829511</v>
      </c>
      <c r="C26" s="6">
        <v>2627.7758852103925</v>
      </c>
      <c r="D26" s="8">
        <v>3284.6843496498304</v>
      </c>
      <c r="J26">
        <f t="shared" si="0"/>
        <v>2116.7698400741228</v>
      </c>
      <c r="K26">
        <f t="shared" si="1"/>
        <v>2210.5738889466897</v>
      </c>
      <c r="L26">
        <f t="shared" si="2"/>
        <v>2424.4154051215792</v>
      </c>
    </row>
    <row r="27" spans="1:12" ht="16.5" thickTop="1" thickBot="1" x14ac:dyDescent="0.3">
      <c r="A27" s="2">
        <v>2034</v>
      </c>
      <c r="B27" s="4">
        <v>2304.8730835235397</v>
      </c>
      <c r="C27" s="6">
        <v>2600.5310857830518</v>
      </c>
      <c r="D27" s="8">
        <v>3263.9046582670189</v>
      </c>
      <c r="J27">
        <f t="shared" si="0"/>
        <v>2090.5247411833416</v>
      </c>
      <c r="K27">
        <f t="shared" si="1"/>
        <v>2187.6546428410243</v>
      </c>
      <c r="L27">
        <f t="shared" si="2"/>
        <v>2409.0779788914056</v>
      </c>
    </row>
    <row r="28" spans="1:12" ht="16.5" thickTop="1" thickBot="1" x14ac:dyDescent="0.3">
      <c r="A28" s="2">
        <v>2035</v>
      </c>
      <c r="B28" s="4">
        <v>2277.8051745784501</v>
      </c>
      <c r="C28" s="6">
        <v>2575.0452779621241</v>
      </c>
      <c r="D28" s="8">
        <v>3244.4665551320395</v>
      </c>
      <c r="J28">
        <f t="shared" si="0"/>
        <v>2065.9740907608452</v>
      </c>
      <c r="K28">
        <f t="shared" si="1"/>
        <v>2166.2151199255663</v>
      </c>
      <c r="L28">
        <f t="shared" si="2"/>
        <v>2394.7307748162834</v>
      </c>
    </row>
    <row r="29" spans="1:12" ht="16.5" thickTop="1" thickBot="1" x14ac:dyDescent="0.3">
      <c r="A29" s="2">
        <v>2036</v>
      </c>
      <c r="B29" s="4">
        <v>2252.3787824914698</v>
      </c>
      <c r="C29" s="6">
        <v>2551.1050414398692</v>
      </c>
      <c r="D29" s="8">
        <v>3226.2072639271005</v>
      </c>
      <c r="J29">
        <f t="shared" si="0"/>
        <v>2042.9122995859484</v>
      </c>
      <c r="K29">
        <f t="shared" si="1"/>
        <v>2146.0757838242048</v>
      </c>
      <c r="L29">
        <f t="shared" si="2"/>
        <v>2381.2536481972297</v>
      </c>
    </row>
    <row r="30" spans="1:12" ht="16.5" thickTop="1" thickBot="1" x14ac:dyDescent="0.3">
      <c r="A30" s="2">
        <v>2037</v>
      </c>
      <c r="B30" s="4">
        <v>2228.4061423690309</v>
      </c>
      <c r="C30" s="6">
        <v>2528.533586054818</v>
      </c>
      <c r="D30" s="8">
        <v>3208.9919462583794</v>
      </c>
      <c r="J30">
        <f t="shared" si="0"/>
        <v>2021.1690645047222</v>
      </c>
      <c r="K30">
        <f t="shared" si="1"/>
        <v>2127.0879126779087</v>
      </c>
      <c r="L30">
        <f t="shared" si="2"/>
        <v>2368.5470752309234</v>
      </c>
    </row>
    <row r="31" spans="1:12" ht="16.5" thickTop="1" thickBot="1" x14ac:dyDescent="0.3">
      <c r="A31" s="2">
        <v>2038</v>
      </c>
      <c r="B31" s="4">
        <v>2205.7299701162115</v>
      </c>
      <c r="C31" s="6">
        <v>2507.1828208619104</v>
      </c>
      <c r="D31" s="8">
        <v>3192.7076527116901</v>
      </c>
      <c r="J31">
        <f t="shared" si="0"/>
        <v>2000.6017285118073</v>
      </c>
      <c r="K31">
        <f t="shared" si="1"/>
        <v>2109.1269273784737</v>
      </c>
      <c r="L31">
        <f t="shared" si="2"/>
        <v>2356.5276883025194</v>
      </c>
    </row>
    <row r="32" spans="1:12" ht="16.5" thickTop="1" thickBot="1" x14ac:dyDescent="0.3">
      <c r="A32" s="2">
        <v>2039</v>
      </c>
      <c r="B32" s="4">
        <v>2184.2172022761124</v>
      </c>
      <c r="C32" s="6">
        <v>2486.9274598740631</v>
      </c>
      <c r="D32" s="8">
        <v>3177.2588272836524</v>
      </c>
      <c r="J32">
        <f t="shared" si="0"/>
        <v>1981.0896027715437</v>
      </c>
      <c r="K32">
        <f t="shared" si="1"/>
        <v>2092.0874331191148</v>
      </c>
      <c r="L32">
        <f t="shared" si="2"/>
        <v>2345.1249578201332</v>
      </c>
    </row>
    <row r="33" spans="1:12" ht="16.5" thickTop="1" thickBot="1" x14ac:dyDescent="0.3">
      <c r="A33" s="2">
        <v>2040</v>
      </c>
      <c r="B33" s="4">
        <v>2163.7542648261046</v>
      </c>
      <c r="C33" s="6">
        <v>2467.6605673940962</v>
      </c>
      <c r="D33" s="8">
        <v>3162.5639097928033</v>
      </c>
      <c r="J33">
        <f t="shared" si="0"/>
        <v>1962.5296754062019</v>
      </c>
      <c r="K33">
        <f t="shared" si="1"/>
        <v>2075.8794719771213</v>
      </c>
      <c r="L33">
        <f t="shared" si="2"/>
        <v>2334.2786844649468</v>
      </c>
    </row>
    <row r="34" spans="1:12" ht="16.5" thickTop="1" thickBot="1" x14ac:dyDescent="0.3">
      <c r="A34" s="2">
        <v>2041</v>
      </c>
      <c r="B34" s="4">
        <v>2144.2434436121307</v>
      </c>
      <c r="C34" s="6">
        <v>2449.2901405947259</v>
      </c>
      <c r="D34" s="8">
        <v>3148.5527294029648</v>
      </c>
      <c r="J34">
        <f t="shared" si="0"/>
        <v>1944.8333194722502</v>
      </c>
      <c r="K34">
        <f t="shared" si="1"/>
        <v>2060.4256480646441</v>
      </c>
      <c r="L34">
        <f t="shared" si="2"/>
        <v>2323.9370753588287</v>
      </c>
    </row>
    <row r="35" spans="1:12" ht="16.5" thickTop="1" thickBot="1" x14ac:dyDescent="0.3">
      <c r="A35" s="2">
        <v>2042</v>
      </c>
      <c r="B35" s="4">
        <v>2125.6000622561924</v>
      </c>
      <c r="C35" s="6">
        <v>2431.736452375455</v>
      </c>
      <c r="D35" s="8">
        <v>3135.1644780121142</v>
      </c>
      <c r="J35">
        <f t="shared" si="0"/>
        <v>1927.9237333165024</v>
      </c>
      <c r="K35">
        <f t="shared" si="1"/>
        <v>2045.6588922501069</v>
      </c>
      <c r="L35">
        <f t="shared" si="2"/>
        <v>2314.0552482289008</v>
      </c>
    </row>
    <row r="36" spans="1:12" ht="16.5" thickTop="1" thickBot="1" x14ac:dyDescent="0.3">
      <c r="A36" s="2">
        <v>2043</v>
      </c>
      <c r="B36" s="4">
        <v>2107.7502611216041</v>
      </c>
      <c r="C36" s="6">
        <v>2414.9299601458288</v>
      </c>
      <c r="D36" s="8">
        <v>3122.3461152750119</v>
      </c>
      <c r="J36">
        <f t="shared" si="0"/>
        <v>1911.7339260929248</v>
      </c>
      <c r="K36">
        <f t="shared" si="1"/>
        <v>2031.5207029559988</v>
      </c>
      <c r="L36">
        <f t="shared" si="2"/>
        <v>2304.5940541596506</v>
      </c>
    </row>
    <row r="37" spans="1:12" ht="16.5" thickTop="1" thickBot="1" x14ac:dyDescent="0.3">
      <c r="A37" s="2">
        <v>2044</v>
      </c>
      <c r="B37" s="4">
        <v>2090.6292299737743</v>
      </c>
      <c r="C37" s="6">
        <v>2398.8096417860011</v>
      </c>
      <c r="D37" s="8">
        <v>3110.0510994352649</v>
      </c>
      <c r="J37">
        <f t="shared" si="0"/>
        <v>1896.2051147822419</v>
      </c>
      <c r="K37">
        <f t="shared" si="1"/>
        <v>2017.9597463126624</v>
      </c>
      <c r="L37">
        <f t="shared" si="2"/>
        <v>2295.5191408239825</v>
      </c>
    </row>
    <row r="38" spans="1:12" ht="16.5" thickTop="1" thickBot="1" x14ac:dyDescent="0.3">
      <c r="A38" s="2">
        <v>2045</v>
      </c>
      <c r="B38" s="4">
        <v>2074.1797874752165</v>
      </c>
      <c r="C38" s="6">
        <v>2383.3216581693086</v>
      </c>
      <c r="D38" s="8">
        <v>3098.2383672272272</v>
      </c>
      <c r="J38">
        <f t="shared" si="0"/>
        <v>1881.2854357909207</v>
      </c>
      <c r="K38">
        <f t="shared" si="1"/>
        <v>2004.9307310270788</v>
      </c>
      <c r="L38">
        <f t="shared" si="2"/>
        <v>2286.8001995519558</v>
      </c>
    </row>
    <row r="39" spans="1:12" ht="16.5" thickTop="1" thickBot="1" x14ac:dyDescent="0.3">
      <c r="A39" s="2">
        <v>2046</v>
      </c>
      <c r="B39" s="4">
        <v>2058.3512289121845</v>
      </c>
      <c r="C39" s="6">
        <v>2368.4182682385217</v>
      </c>
      <c r="D39" s="8">
        <v>3086.8715064013518</v>
      </c>
      <c r="J39">
        <f t="shared" si="0"/>
        <v>1866.9288998368013</v>
      </c>
      <c r="K39">
        <f t="shared" si="1"/>
        <v>1992.3934957083404</v>
      </c>
      <c r="L39">
        <f t="shared" si="2"/>
        <v>2278.4103545742905</v>
      </c>
    </row>
    <row r="40" spans="1:12" ht="16.5" thickTop="1" thickBot="1" x14ac:dyDescent="0.3">
      <c r="A40" s="2">
        <v>2047</v>
      </c>
      <c r="B40" s="4">
        <v>2043.0983835786772</v>
      </c>
      <c r="C40" s="6">
        <v>2354.0569414851079</v>
      </c>
      <c r="D40" s="8">
        <v>3075.9180788094359</v>
      </c>
      <c r="J40">
        <f t="shared" si="0"/>
        <v>1853.0945369944038</v>
      </c>
      <c r="K40">
        <f t="shared" si="1"/>
        <v>1980.3122622552121</v>
      </c>
      <c r="L40">
        <f t="shared" si="2"/>
        <v>2270.3256633936735</v>
      </c>
    </row>
    <row r="41" spans="1:12" ht="16.5" thickTop="1" thickBot="1" x14ac:dyDescent="0.3">
      <c r="A41" s="2">
        <v>2048</v>
      </c>
      <c r="B41" s="4">
        <v>2028.3808376437507</v>
      </c>
      <c r="C41" s="6">
        <v>2340.1996262394373</v>
      </c>
      <c r="D41" s="8">
        <v>3065.3490623273256</v>
      </c>
      <c r="J41">
        <f t="shared" si="0"/>
        <v>1839.7456918339446</v>
      </c>
      <c r="K41">
        <f t="shared" si="1"/>
        <v>1968.6550203171196</v>
      </c>
      <c r="L41">
        <f t="shared" si="2"/>
        <v>2262.5247048696242</v>
      </c>
    </row>
    <row r="42" spans="1:12" ht="16.5" thickTop="1" thickBot="1" x14ac:dyDescent="0.3">
      <c r="A42" s="2">
        <v>2049</v>
      </c>
      <c r="B42" s="4">
        <v>2014.162288819266</v>
      </c>
      <c r="C42" s="6">
        <v>2326.8121420577668</v>
      </c>
      <c r="D42" s="8">
        <v>3055.1383874266244</v>
      </c>
      <c r="J42">
        <f t="shared" si="0"/>
        <v>1826.8494381036228</v>
      </c>
      <c r="K42">
        <f t="shared" si="1"/>
        <v>1957.3930161495464</v>
      </c>
      <c r="L42">
        <f t="shared" si="2"/>
        <v>2254.9882371634999</v>
      </c>
    </row>
    <row r="43" spans="1:12" ht="16.5" thickTop="1" thickBot="1" x14ac:dyDescent="0.3">
      <c r="A43" s="2">
        <v>2050</v>
      </c>
      <c r="B43" s="4">
        <v>2000.4100068819964</v>
      </c>
      <c r="C43" s="6">
        <v>2313.8636717764653</v>
      </c>
      <c r="D43" s="8">
        <v>3045.2625497629083</v>
      </c>
      <c r="J43">
        <f t="shared" si="0"/>
        <v>1814.376089422037</v>
      </c>
      <c r="K43">
        <f t="shared" si="1"/>
        <v>1946.5003253128789</v>
      </c>
      <c r="L43">
        <f t="shared" si="2"/>
        <v>2247.6989117910493</v>
      </c>
    </row>
    <row r="44" spans="1:12" ht="15.75" thickTop="1" x14ac:dyDescent="0.25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3"/>
  <sheetViews>
    <sheetView topLeftCell="A7" workbookViewId="0">
      <selection activeCell="L16" sqref="L16"/>
    </sheetView>
  </sheetViews>
  <sheetFormatPr defaultRowHeight="15" x14ac:dyDescent="0.25"/>
  <cols>
    <col min="1" max="1" width="22.85546875" customWidth="1"/>
  </cols>
  <sheetData>
    <row r="1" spans="1:31" x14ac:dyDescent="0.25">
      <c r="A1" s="1"/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</row>
    <row r="2" spans="1:31" x14ac:dyDescent="0.25">
      <c r="A2" s="3" t="s">
        <v>6</v>
      </c>
      <c r="B2" s="4">
        <v>1363.0000000000048</v>
      </c>
      <c r="C2" s="4">
        <v>1533.3167150176362</v>
      </c>
      <c r="D2" s="4">
        <v>1434.0015417728744</v>
      </c>
      <c r="E2" s="4">
        <v>1273.9566478720978</v>
      </c>
      <c r="F2" s="4">
        <v>1244.2755304961363</v>
      </c>
      <c r="G2" s="4">
        <v>1214.5944131201636</v>
      </c>
      <c r="H2" s="4">
        <v>1184.9132957442018</v>
      </c>
      <c r="I2" s="4">
        <v>1155.2321783682294</v>
      </c>
      <c r="J2" s="4">
        <v>1125.5510609922676</v>
      </c>
      <c r="K2" s="4">
        <v>1095.8699436162949</v>
      </c>
      <c r="L2" s="4">
        <v>1083.5551837210719</v>
      </c>
      <c r="M2" s="4">
        <v>1071.240423825838</v>
      </c>
      <c r="N2" s="4">
        <v>1058.9256639306138</v>
      </c>
      <c r="O2" s="4">
        <v>1046.6109040353833</v>
      </c>
      <c r="P2" s="4">
        <v>1034.2961441401537</v>
      </c>
      <c r="Q2" s="4">
        <v>1021.981384244924</v>
      </c>
      <c r="R2" s="4">
        <v>1009.6666243496944</v>
      </c>
      <c r="S2" s="4">
        <v>997.35186445446493</v>
      </c>
      <c r="T2" s="4">
        <v>985.03710455923544</v>
      </c>
      <c r="U2" s="4">
        <v>972.72234466400585</v>
      </c>
      <c r="V2" s="4">
        <v>960.40758476877625</v>
      </c>
      <c r="W2" s="4">
        <v>948.09282487354665</v>
      </c>
      <c r="X2" s="4">
        <v>935.77806497831716</v>
      </c>
      <c r="Y2" s="4">
        <v>923.46330508308654</v>
      </c>
      <c r="Z2" s="4">
        <v>911.14854518785694</v>
      </c>
      <c r="AA2" s="4">
        <v>898.83378529262734</v>
      </c>
      <c r="AB2" s="4">
        <v>886.51902539739785</v>
      </c>
      <c r="AC2" s="4">
        <v>874.20426550216825</v>
      </c>
      <c r="AD2" s="4">
        <v>861.88950560693866</v>
      </c>
      <c r="AE2" s="4">
        <v>849.57474571170906</v>
      </c>
    </row>
    <row r="3" spans="1:31" x14ac:dyDescent="0.25">
      <c r="A3" s="5" t="s">
        <v>7</v>
      </c>
      <c r="B3" s="6">
        <v>1363.0000000000048</v>
      </c>
      <c r="C3" s="6">
        <v>1540.2333333333315</v>
      </c>
      <c r="D3" s="6">
        <v>1447.233333333339</v>
      </c>
      <c r="E3" s="6">
        <v>1291.9999999999948</v>
      </c>
      <c r="F3" s="6">
        <v>1268.333333333328</v>
      </c>
      <c r="G3" s="6">
        <v>1244.6666666666617</v>
      </c>
      <c r="H3" s="6">
        <v>1220.999999999995</v>
      </c>
      <c r="I3" s="6">
        <v>1197.3333333333287</v>
      </c>
      <c r="J3" s="6">
        <v>1173.666666666662</v>
      </c>
      <c r="K3" s="6">
        <v>1149.9999999999957</v>
      </c>
      <c r="L3" s="6">
        <v>1138.6766064586523</v>
      </c>
      <c r="M3" s="6">
        <v>1127.3532129172982</v>
      </c>
      <c r="N3" s="6">
        <v>1116.029819375955</v>
      </c>
      <c r="O3" s="6">
        <v>1104.7064258346009</v>
      </c>
      <c r="P3" s="6">
        <v>1093.383032293247</v>
      </c>
      <c r="Q3" s="6">
        <v>1082.0596387519035</v>
      </c>
      <c r="R3" s="6">
        <v>1070.7362452105497</v>
      </c>
      <c r="S3" s="6">
        <v>1059.4128516692083</v>
      </c>
      <c r="T3" s="6">
        <v>1048.0894581278596</v>
      </c>
      <c r="U3" s="6">
        <v>1036.7660645865099</v>
      </c>
      <c r="V3" s="6">
        <v>1025.4426710451601</v>
      </c>
      <c r="W3" s="6">
        <v>1014.1192775038104</v>
      </c>
      <c r="X3" s="6">
        <v>1002.7958839624617</v>
      </c>
      <c r="Y3" s="6">
        <v>991.47249042111207</v>
      </c>
      <c r="Z3" s="6">
        <v>980.14909687976228</v>
      </c>
      <c r="AA3" s="6">
        <v>968.82570333841363</v>
      </c>
      <c r="AB3" s="6">
        <v>957.50230979706396</v>
      </c>
      <c r="AC3" s="6">
        <v>946.17891625571417</v>
      </c>
      <c r="AD3" s="6">
        <v>934.8555227143645</v>
      </c>
      <c r="AE3" s="6">
        <v>923.53212917301573</v>
      </c>
    </row>
    <row r="4" spans="1:31" ht="15.75" thickBot="1" x14ac:dyDescent="0.3">
      <c r="A4" s="7" t="s">
        <v>8</v>
      </c>
      <c r="B4" s="8">
        <v>1363.0000000000048</v>
      </c>
      <c r="C4" s="8">
        <v>1556.0722383392163</v>
      </c>
      <c r="D4" s="8">
        <v>1477.5338472576204</v>
      </c>
      <c r="E4" s="8">
        <v>1333.3188826240321</v>
      </c>
      <c r="F4" s="8">
        <v>1323.4251768320451</v>
      </c>
      <c r="G4" s="8">
        <v>1313.5314710400578</v>
      </c>
      <c r="H4" s="8">
        <v>1303.6377652480705</v>
      </c>
      <c r="I4" s="8">
        <v>1293.7440594560726</v>
      </c>
      <c r="J4" s="8">
        <v>1283.8503536640853</v>
      </c>
      <c r="K4" s="8">
        <v>1273.9566478720978</v>
      </c>
      <c r="L4" s="8">
        <v>1265.366506952058</v>
      </c>
      <c r="M4" s="8">
        <v>1256.7763660320179</v>
      </c>
      <c r="N4" s="8">
        <v>1248.1862251119783</v>
      </c>
      <c r="O4" s="8">
        <v>1239.5960841919486</v>
      </c>
      <c r="P4" s="8">
        <v>1231.0059432719088</v>
      </c>
      <c r="Q4" s="8">
        <v>1222.4158023518687</v>
      </c>
      <c r="R4" s="8">
        <v>1213.8256614318288</v>
      </c>
      <c r="S4" s="8">
        <v>1205.2355205117888</v>
      </c>
      <c r="T4" s="8">
        <v>1196.6453795917489</v>
      </c>
      <c r="U4" s="8">
        <v>1188.0552386717088</v>
      </c>
      <c r="V4" s="8">
        <v>1179.4650977516692</v>
      </c>
      <c r="W4" s="8">
        <v>1170.8749568316291</v>
      </c>
      <c r="X4" s="8">
        <v>1162.2848159115892</v>
      </c>
      <c r="Y4" s="8">
        <v>1153.6946749915494</v>
      </c>
      <c r="Z4" s="8">
        <v>1145.1045340715198</v>
      </c>
      <c r="AA4" s="8">
        <v>1136.5143931514801</v>
      </c>
      <c r="AB4" s="8">
        <v>1127.9242522314401</v>
      </c>
      <c r="AC4" s="8">
        <v>1119.3341113114002</v>
      </c>
      <c r="AD4" s="8">
        <v>1110.7439703913601</v>
      </c>
      <c r="AE4" s="8">
        <v>1102.1538294713203</v>
      </c>
    </row>
    <row r="5" spans="1:31" ht="15.75" thickTop="1" x14ac:dyDescent="0.25"/>
    <row r="11" spans="1:31" x14ac:dyDescent="0.25">
      <c r="A11" s="1"/>
      <c r="B11" s="3" t="s">
        <v>6</v>
      </c>
      <c r="C11" s="5" t="s">
        <v>7</v>
      </c>
      <c r="D11" s="7" t="s">
        <v>8</v>
      </c>
      <c r="H11" t="s">
        <v>36</v>
      </c>
      <c r="I11">
        <v>1157</v>
      </c>
      <c r="K11" s="1"/>
      <c r="L11" s="3" t="s">
        <v>6</v>
      </c>
      <c r="M11" s="5" t="s">
        <v>7</v>
      </c>
      <c r="N11" s="7" t="s">
        <v>8</v>
      </c>
    </row>
    <row r="12" spans="1:31" ht="15.75" thickBot="1" x14ac:dyDescent="0.3">
      <c r="A12" s="2">
        <v>2020</v>
      </c>
      <c r="B12" s="4">
        <f t="shared" ref="B12:B42" si="0">$I$11/L$12*L12</f>
        <v>1157</v>
      </c>
      <c r="C12" s="4">
        <f t="shared" ref="C12:C42" si="1">$I$11/M$12*M12</f>
        <v>1157</v>
      </c>
      <c r="D12" s="4">
        <f t="shared" ref="D12:D42" si="2">$I$11/N$12*N12</f>
        <v>1157</v>
      </c>
      <c r="K12" s="2">
        <v>2020</v>
      </c>
      <c r="L12" s="4">
        <v>1363.0000000000048</v>
      </c>
      <c r="M12" s="6">
        <v>1363.0000000000048</v>
      </c>
      <c r="N12" s="8">
        <v>1363.0000000000048</v>
      </c>
    </row>
    <row r="13" spans="1:31" ht="16.5" thickTop="1" thickBot="1" x14ac:dyDescent="0.3">
      <c r="A13" s="2">
        <v>2021</v>
      </c>
      <c r="B13" s="4">
        <f t="shared" si="0"/>
        <v>1157</v>
      </c>
      <c r="C13" s="4">
        <f t="shared" si="1"/>
        <v>1157</v>
      </c>
      <c r="D13" s="4">
        <f t="shared" si="2"/>
        <v>1157</v>
      </c>
      <c r="K13" s="2">
        <v>2021</v>
      </c>
      <c r="L13" s="4">
        <v>1363.0000000000048</v>
      </c>
      <c r="M13" s="6">
        <v>1363.0000000000048</v>
      </c>
      <c r="N13" s="8">
        <v>1363.0000000000048</v>
      </c>
    </row>
    <row r="14" spans="1:31" ht="16.5" thickTop="1" thickBot="1" x14ac:dyDescent="0.3">
      <c r="A14" s="2">
        <v>2022</v>
      </c>
      <c r="B14" s="4">
        <f t="shared" si="0"/>
        <v>1301.5755240465141</v>
      </c>
      <c r="C14" s="4">
        <f t="shared" si="1"/>
        <v>1307.446784054775</v>
      </c>
      <c r="D14" s="4">
        <f t="shared" si="2"/>
        <v>1320.8918413488384</v>
      </c>
      <c r="K14" s="2">
        <v>2022</v>
      </c>
      <c r="L14" s="4">
        <v>1533.3167150176362</v>
      </c>
      <c r="M14" s="6">
        <v>1540.2333333333315</v>
      </c>
      <c r="N14" s="8">
        <v>1556.0722383392163</v>
      </c>
    </row>
    <row r="15" spans="1:31" ht="16.5" thickTop="1" thickBot="1" x14ac:dyDescent="0.3">
      <c r="A15" s="2">
        <v>2023</v>
      </c>
      <c r="B15" s="4">
        <f t="shared" si="0"/>
        <v>1217.2705677411664</v>
      </c>
      <c r="C15" s="4">
        <f t="shared" si="1"/>
        <v>1228.5025434091469</v>
      </c>
      <c r="D15" s="4">
        <f t="shared" si="2"/>
        <v>1254.2235225803822</v>
      </c>
      <c r="K15" s="2">
        <v>2023</v>
      </c>
      <c r="L15" s="4">
        <v>1434.0015417728744</v>
      </c>
      <c r="M15" s="6">
        <v>1447.233333333339</v>
      </c>
      <c r="N15" s="8">
        <v>1477.5338472576204</v>
      </c>
    </row>
    <row r="16" spans="1:31" ht="16.5" thickTop="1" thickBot="1" x14ac:dyDescent="0.3">
      <c r="A16" s="2">
        <v>2024</v>
      </c>
      <c r="B16" s="4">
        <f t="shared" si="0"/>
        <v>1081.414410556135</v>
      </c>
      <c r="C16" s="4">
        <f t="shared" si="1"/>
        <v>1096.7307410124643</v>
      </c>
      <c r="D16" s="4">
        <f t="shared" si="2"/>
        <v>1131.8048035187085</v>
      </c>
      <c r="K16" s="2">
        <v>2024</v>
      </c>
      <c r="L16" s="4">
        <v>1273.9566478720978</v>
      </c>
      <c r="M16" s="6">
        <v>1291.9999999999948</v>
      </c>
      <c r="N16" s="8">
        <v>1333.3188826240321</v>
      </c>
    </row>
    <row r="17" spans="1:14" ht="16.5" thickTop="1" thickBot="1" x14ac:dyDescent="0.3">
      <c r="A17" s="2">
        <v>2025</v>
      </c>
      <c r="B17" s="4">
        <f t="shared" si="0"/>
        <v>1056.219214074853</v>
      </c>
      <c r="C17" s="4">
        <f t="shared" si="1"/>
        <v>1076.6409880166218</v>
      </c>
      <c r="D17" s="4">
        <f t="shared" si="2"/>
        <v>1123.4064046916146</v>
      </c>
      <c r="K17" s="2">
        <v>2025</v>
      </c>
      <c r="L17" s="4">
        <v>1244.2755304961363</v>
      </c>
      <c r="M17" s="6">
        <v>1268.333333333328</v>
      </c>
      <c r="N17" s="8">
        <v>1323.4251768320451</v>
      </c>
    </row>
    <row r="18" spans="1:14" ht="16.5" thickTop="1" thickBot="1" x14ac:dyDescent="0.3">
      <c r="A18" s="2">
        <v>2026</v>
      </c>
      <c r="B18" s="4">
        <f t="shared" si="0"/>
        <v>1031.0240175935614</v>
      </c>
      <c r="C18" s="4">
        <f t="shared" si="1"/>
        <v>1056.5512350207796</v>
      </c>
      <c r="D18" s="4">
        <f t="shared" si="2"/>
        <v>1115.0080058645206</v>
      </c>
      <c r="K18" s="2">
        <v>2026</v>
      </c>
      <c r="L18" s="4">
        <v>1214.5944131201636</v>
      </c>
      <c r="M18" s="6">
        <v>1244.6666666666617</v>
      </c>
      <c r="N18" s="8">
        <v>1313.5314710400578</v>
      </c>
    </row>
    <row r="19" spans="1:14" ht="16.5" thickTop="1" thickBot="1" x14ac:dyDescent="0.3">
      <c r="A19" s="2">
        <v>2027</v>
      </c>
      <c r="B19" s="4">
        <f t="shared" si="0"/>
        <v>1005.8288211122793</v>
      </c>
      <c r="C19" s="4">
        <f t="shared" si="1"/>
        <v>1036.4614820249371</v>
      </c>
      <c r="D19" s="4">
        <f t="shared" si="2"/>
        <v>1106.6096070374265</v>
      </c>
      <c r="K19" s="2">
        <v>2027</v>
      </c>
      <c r="L19" s="4">
        <v>1184.9132957442018</v>
      </c>
      <c r="M19" s="6">
        <v>1220.999999999995</v>
      </c>
      <c r="N19" s="8">
        <v>1303.6377652480705</v>
      </c>
    </row>
    <row r="20" spans="1:14" ht="16.5" thickTop="1" thickBot="1" x14ac:dyDescent="0.3">
      <c r="A20" s="2">
        <v>2028</v>
      </c>
      <c r="B20" s="4">
        <f t="shared" si="0"/>
        <v>980.63362463098804</v>
      </c>
      <c r="C20" s="4">
        <f t="shared" si="1"/>
        <v>1016.371729029095</v>
      </c>
      <c r="D20" s="4">
        <f t="shared" si="2"/>
        <v>1098.2112082103233</v>
      </c>
      <c r="K20" s="2">
        <v>2028</v>
      </c>
      <c r="L20" s="4">
        <v>1155.2321783682294</v>
      </c>
      <c r="M20" s="6">
        <v>1197.3333333333287</v>
      </c>
      <c r="N20" s="8">
        <v>1293.7440594560726</v>
      </c>
    </row>
    <row r="21" spans="1:14" ht="16.5" thickTop="1" thickBot="1" x14ac:dyDescent="0.3">
      <c r="A21" s="2">
        <v>2029</v>
      </c>
      <c r="B21" s="4">
        <f t="shared" si="0"/>
        <v>955.43842814970583</v>
      </c>
      <c r="C21" s="4">
        <f t="shared" si="1"/>
        <v>996.28197603325248</v>
      </c>
      <c r="D21" s="4">
        <f t="shared" si="2"/>
        <v>1089.8128093832293</v>
      </c>
      <c r="K21" s="2">
        <v>2029</v>
      </c>
      <c r="L21" s="4">
        <v>1125.5510609922676</v>
      </c>
      <c r="M21" s="6">
        <v>1173.666666666662</v>
      </c>
      <c r="N21" s="8">
        <v>1283.8503536640853</v>
      </c>
    </row>
    <row r="22" spans="1:14" ht="16.5" thickTop="1" thickBot="1" x14ac:dyDescent="0.3">
      <c r="A22" s="2">
        <v>2030</v>
      </c>
      <c r="B22" s="4">
        <f t="shared" si="0"/>
        <v>930.2432316684143</v>
      </c>
      <c r="C22" s="4">
        <f t="shared" si="1"/>
        <v>976.19222303741037</v>
      </c>
      <c r="D22" s="4">
        <f t="shared" si="2"/>
        <v>1081.414410556135</v>
      </c>
      <c r="K22" s="2">
        <v>2030</v>
      </c>
      <c r="L22" s="4">
        <v>1095.8699436162949</v>
      </c>
      <c r="M22" s="6">
        <v>1149.9999999999957</v>
      </c>
      <c r="N22" s="8">
        <v>1273.9566478720978</v>
      </c>
    </row>
    <row r="23" spans="1:14" ht="16.5" thickTop="1" thickBot="1" x14ac:dyDescent="0.3">
      <c r="A23" s="2">
        <v>2031</v>
      </c>
      <c r="B23" s="4">
        <f t="shared" si="0"/>
        <v>919.78969006990155</v>
      </c>
      <c r="C23" s="4">
        <f t="shared" si="1"/>
        <v>966.58021546049599</v>
      </c>
      <c r="D23" s="4">
        <f t="shared" si="2"/>
        <v>1074.1225594596669</v>
      </c>
      <c r="K23" s="2">
        <v>2031</v>
      </c>
      <c r="L23" s="4">
        <v>1083.5551837210719</v>
      </c>
      <c r="M23" s="6">
        <v>1138.6766064586523</v>
      </c>
      <c r="N23" s="8">
        <v>1265.366506952058</v>
      </c>
    </row>
    <row r="24" spans="1:14" ht="16.5" thickTop="1" thickBot="1" x14ac:dyDescent="0.3">
      <c r="A24" s="2">
        <v>2032</v>
      </c>
      <c r="B24" s="4">
        <f t="shared" si="0"/>
        <v>909.33614847137949</v>
      </c>
      <c r="C24" s="4">
        <f t="shared" si="1"/>
        <v>956.96820788357252</v>
      </c>
      <c r="D24" s="4">
        <f t="shared" si="2"/>
        <v>1066.8307083631985</v>
      </c>
      <c r="K24" s="2">
        <v>2032</v>
      </c>
      <c r="L24" s="4">
        <v>1071.240423825838</v>
      </c>
      <c r="M24" s="6">
        <v>1127.3532129172982</v>
      </c>
      <c r="N24" s="8">
        <v>1256.7763660320179</v>
      </c>
    </row>
    <row r="25" spans="1:14" ht="16.5" thickTop="1" thickBot="1" x14ac:dyDescent="0.3">
      <c r="A25" s="2">
        <v>2033</v>
      </c>
      <c r="B25" s="4">
        <f t="shared" si="0"/>
        <v>898.88260687286572</v>
      </c>
      <c r="C25" s="4">
        <f t="shared" si="1"/>
        <v>947.35620030665837</v>
      </c>
      <c r="D25" s="4">
        <f t="shared" si="2"/>
        <v>1059.5388572667307</v>
      </c>
      <c r="K25" s="2">
        <v>2033</v>
      </c>
      <c r="L25" s="4">
        <v>1058.9256639306138</v>
      </c>
      <c r="M25" s="6">
        <v>1116.029819375955</v>
      </c>
      <c r="N25" s="8">
        <v>1248.1862251119783</v>
      </c>
    </row>
    <row r="26" spans="1:14" ht="16.5" thickTop="1" thickBot="1" x14ac:dyDescent="0.3">
      <c r="A26" s="2">
        <v>2034</v>
      </c>
      <c r="B26" s="4">
        <f t="shared" si="0"/>
        <v>888.4290652743465</v>
      </c>
      <c r="C26" s="4">
        <f t="shared" si="1"/>
        <v>937.74419272973489</v>
      </c>
      <c r="D26" s="4">
        <f t="shared" si="2"/>
        <v>1052.2470061702711</v>
      </c>
      <c r="K26" s="2">
        <v>2034</v>
      </c>
      <c r="L26" s="4">
        <v>1046.6109040353833</v>
      </c>
      <c r="M26" s="6">
        <v>1104.7064258346009</v>
      </c>
      <c r="N26" s="8">
        <v>1239.5960841919486</v>
      </c>
    </row>
    <row r="27" spans="1:14" ht="16.5" thickTop="1" thickBot="1" x14ac:dyDescent="0.3">
      <c r="A27" s="2">
        <v>2035</v>
      </c>
      <c r="B27" s="4">
        <f t="shared" si="0"/>
        <v>877.97552367582807</v>
      </c>
      <c r="C27" s="4">
        <f t="shared" si="1"/>
        <v>928.13218515281164</v>
      </c>
      <c r="D27" s="4">
        <f t="shared" si="2"/>
        <v>1044.9551550738031</v>
      </c>
      <c r="K27" s="2">
        <v>2035</v>
      </c>
      <c r="L27" s="4">
        <v>1034.2961441401537</v>
      </c>
      <c r="M27" s="6">
        <v>1093.383032293247</v>
      </c>
      <c r="N27" s="8">
        <v>1231.0059432719088</v>
      </c>
    </row>
    <row r="28" spans="1:14" ht="16.5" thickTop="1" thickBot="1" x14ac:dyDescent="0.3">
      <c r="A28" s="2">
        <v>2036</v>
      </c>
      <c r="B28" s="4">
        <f t="shared" si="0"/>
        <v>867.52198207730953</v>
      </c>
      <c r="C28" s="4">
        <f t="shared" si="1"/>
        <v>918.52017757589726</v>
      </c>
      <c r="D28" s="4">
        <f t="shared" si="2"/>
        <v>1037.6633039773346</v>
      </c>
      <c r="K28" s="2">
        <v>2036</v>
      </c>
      <c r="L28" s="4">
        <v>1021.981384244924</v>
      </c>
      <c r="M28" s="6">
        <v>1082.0596387519035</v>
      </c>
      <c r="N28" s="8">
        <v>1222.4158023518687</v>
      </c>
    </row>
    <row r="29" spans="1:14" ht="16.5" thickTop="1" thickBot="1" x14ac:dyDescent="0.3">
      <c r="A29" s="2">
        <v>2037</v>
      </c>
      <c r="B29" s="4">
        <f t="shared" si="0"/>
        <v>857.0684404787911</v>
      </c>
      <c r="C29" s="4">
        <f t="shared" si="1"/>
        <v>908.90816999897402</v>
      </c>
      <c r="D29" s="4">
        <f t="shared" si="2"/>
        <v>1030.3714528808664</v>
      </c>
      <c r="K29" s="2">
        <v>2037</v>
      </c>
      <c r="L29" s="4">
        <v>1009.6666243496944</v>
      </c>
      <c r="M29" s="6">
        <v>1070.7362452105497</v>
      </c>
      <c r="N29" s="8">
        <v>1213.8256614318288</v>
      </c>
    </row>
    <row r="30" spans="1:14" ht="16.5" thickTop="1" thickBot="1" x14ac:dyDescent="0.3">
      <c r="A30" s="2">
        <v>2038</v>
      </c>
      <c r="B30" s="4">
        <f t="shared" si="0"/>
        <v>846.61489888027279</v>
      </c>
      <c r="C30" s="4">
        <f t="shared" si="1"/>
        <v>899.29616242206146</v>
      </c>
      <c r="D30" s="4">
        <f t="shared" si="2"/>
        <v>1023.0796017843982</v>
      </c>
      <c r="K30" s="2">
        <v>2038</v>
      </c>
      <c r="L30" s="4">
        <v>997.35186445446493</v>
      </c>
      <c r="M30" s="6">
        <v>1059.4128516692083</v>
      </c>
      <c r="N30" s="8">
        <v>1205.2355205117888</v>
      </c>
    </row>
    <row r="31" spans="1:14" ht="16.5" thickTop="1" thickBot="1" x14ac:dyDescent="0.3">
      <c r="A31" s="2">
        <v>2039</v>
      </c>
      <c r="B31" s="4">
        <f t="shared" si="0"/>
        <v>836.16135728175448</v>
      </c>
      <c r="C31" s="4">
        <f t="shared" si="1"/>
        <v>889.68415484514264</v>
      </c>
      <c r="D31" s="4">
        <f t="shared" si="2"/>
        <v>1015.78775068793</v>
      </c>
      <c r="K31" s="2">
        <v>2039</v>
      </c>
      <c r="L31" s="4">
        <v>985.03710455923544</v>
      </c>
      <c r="M31" s="6">
        <v>1048.0894581278596</v>
      </c>
      <c r="N31" s="8">
        <v>1196.6453795917489</v>
      </c>
    </row>
    <row r="32" spans="1:14" ht="16.5" thickTop="1" thickBot="1" x14ac:dyDescent="0.3">
      <c r="A32" s="2">
        <v>2040</v>
      </c>
      <c r="B32" s="4">
        <f t="shared" si="0"/>
        <v>825.70781568323616</v>
      </c>
      <c r="C32" s="4">
        <f t="shared" si="1"/>
        <v>880.07214726822281</v>
      </c>
      <c r="D32" s="4">
        <f t="shared" si="2"/>
        <v>1008.4958995914617</v>
      </c>
      <c r="K32" s="2">
        <v>2040</v>
      </c>
      <c r="L32" s="4">
        <v>972.72234466400585</v>
      </c>
      <c r="M32" s="6">
        <v>1036.7660645865099</v>
      </c>
      <c r="N32" s="8">
        <v>1188.0552386717088</v>
      </c>
    </row>
    <row r="33" spans="1:14" ht="16.5" thickTop="1" thickBot="1" x14ac:dyDescent="0.3">
      <c r="A33" s="2">
        <v>2041</v>
      </c>
      <c r="B33" s="4">
        <f t="shared" si="0"/>
        <v>815.25427408471774</v>
      </c>
      <c r="C33" s="4">
        <f t="shared" si="1"/>
        <v>870.46013969130308</v>
      </c>
      <c r="D33" s="4">
        <f t="shared" si="2"/>
        <v>1001.2040484949937</v>
      </c>
      <c r="K33" s="2">
        <v>2041</v>
      </c>
      <c r="L33" s="4">
        <v>960.40758476877625</v>
      </c>
      <c r="M33" s="6">
        <v>1025.4426710451601</v>
      </c>
      <c r="N33" s="8">
        <v>1179.4650977516692</v>
      </c>
    </row>
    <row r="34" spans="1:14" ht="16.5" thickTop="1" thickBot="1" x14ac:dyDescent="0.3">
      <c r="A34" s="2">
        <v>2042</v>
      </c>
      <c r="B34" s="4">
        <f t="shared" si="0"/>
        <v>804.80073248619931</v>
      </c>
      <c r="C34" s="4">
        <f t="shared" si="1"/>
        <v>860.84813211438336</v>
      </c>
      <c r="D34" s="4">
        <f t="shared" si="2"/>
        <v>993.91219739852545</v>
      </c>
      <c r="K34" s="2">
        <v>2042</v>
      </c>
      <c r="L34" s="4">
        <v>948.09282487354665</v>
      </c>
      <c r="M34" s="6">
        <v>1014.1192775038104</v>
      </c>
      <c r="N34" s="8">
        <v>1170.8749568316291</v>
      </c>
    </row>
    <row r="35" spans="1:14" ht="16.5" thickTop="1" thickBot="1" x14ac:dyDescent="0.3">
      <c r="A35" s="2">
        <v>2043</v>
      </c>
      <c r="B35" s="4">
        <f t="shared" si="0"/>
        <v>794.34719088768099</v>
      </c>
      <c r="C35" s="4">
        <f t="shared" si="1"/>
        <v>851.23612453746455</v>
      </c>
      <c r="D35" s="4">
        <f t="shared" si="2"/>
        <v>986.62034630205721</v>
      </c>
      <c r="K35" s="2">
        <v>2043</v>
      </c>
      <c r="L35" s="4">
        <v>935.77806497831716</v>
      </c>
      <c r="M35" s="6">
        <v>1002.7958839624617</v>
      </c>
      <c r="N35" s="8">
        <v>1162.2848159115892</v>
      </c>
    </row>
    <row r="36" spans="1:14" ht="16.5" thickTop="1" thickBot="1" x14ac:dyDescent="0.3">
      <c r="A36" s="2">
        <v>2044</v>
      </c>
      <c r="B36" s="4">
        <f t="shared" si="0"/>
        <v>783.89364928916166</v>
      </c>
      <c r="C36" s="4">
        <f t="shared" si="1"/>
        <v>841.62411696054482</v>
      </c>
      <c r="D36" s="4">
        <f t="shared" si="2"/>
        <v>979.32849520558909</v>
      </c>
      <c r="K36" s="2">
        <v>2044</v>
      </c>
      <c r="L36" s="4">
        <v>923.46330508308654</v>
      </c>
      <c r="M36" s="6">
        <v>991.47249042111207</v>
      </c>
      <c r="N36" s="8">
        <v>1153.6946749915494</v>
      </c>
    </row>
    <row r="37" spans="1:14" ht="16.5" thickTop="1" thickBot="1" x14ac:dyDescent="0.3">
      <c r="A37" s="2">
        <v>2045</v>
      </c>
      <c r="B37" s="4">
        <f t="shared" si="0"/>
        <v>773.44010769064323</v>
      </c>
      <c r="C37" s="4">
        <f t="shared" si="1"/>
        <v>832.0121093836251</v>
      </c>
      <c r="D37" s="4">
        <f t="shared" si="2"/>
        <v>972.03664410912961</v>
      </c>
      <c r="K37" s="2">
        <v>2045</v>
      </c>
      <c r="L37" s="4">
        <v>911.14854518785694</v>
      </c>
      <c r="M37" s="6">
        <v>980.14909687976228</v>
      </c>
      <c r="N37" s="8">
        <v>1145.1045340715198</v>
      </c>
    </row>
    <row r="38" spans="1:14" ht="16.5" thickTop="1" thickBot="1" x14ac:dyDescent="0.3">
      <c r="A38" s="2">
        <v>2046</v>
      </c>
      <c r="B38" s="4">
        <f t="shared" si="0"/>
        <v>762.9865660921248</v>
      </c>
      <c r="C38" s="4">
        <f t="shared" si="1"/>
        <v>822.40010180670629</v>
      </c>
      <c r="D38" s="4">
        <f t="shared" si="2"/>
        <v>964.74479301266172</v>
      </c>
      <c r="K38" s="2">
        <v>2046</v>
      </c>
      <c r="L38" s="4">
        <v>898.83378529262734</v>
      </c>
      <c r="M38" s="6">
        <v>968.82570333841363</v>
      </c>
      <c r="N38" s="8">
        <v>1136.5143931514801</v>
      </c>
    </row>
    <row r="39" spans="1:14" ht="16.5" thickTop="1" thickBot="1" x14ac:dyDescent="0.3">
      <c r="A39" s="2">
        <v>2047</v>
      </c>
      <c r="B39" s="4">
        <f t="shared" si="0"/>
        <v>752.53302449360649</v>
      </c>
      <c r="C39" s="4">
        <f t="shared" si="1"/>
        <v>812.78809422978657</v>
      </c>
      <c r="D39" s="4">
        <f t="shared" si="2"/>
        <v>957.45294191619337</v>
      </c>
      <c r="K39" s="2">
        <v>2047</v>
      </c>
      <c r="L39" s="4">
        <v>886.51902539739785</v>
      </c>
      <c r="M39" s="6">
        <v>957.50230979706396</v>
      </c>
      <c r="N39" s="8">
        <v>1127.9242522314401</v>
      </c>
    </row>
    <row r="40" spans="1:14" ht="16.5" thickTop="1" thickBot="1" x14ac:dyDescent="0.3">
      <c r="A40" s="2">
        <v>2048</v>
      </c>
      <c r="B40" s="4">
        <f t="shared" si="0"/>
        <v>742.07948289508818</v>
      </c>
      <c r="C40" s="4">
        <f t="shared" si="1"/>
        <v>803.17608665286684</v>
      </c>
      <c r="D40" s="4">
        <f t="shared" si="2"/>
        <v>950.16109081972525</v>
      </c>
      <c r="K40" s="2">
        <v>2048</v>
      </c>
      <c r="L40" s="4">
        <v>874.20426550216825</v>
      </c>
      <c r="M40" s="6">
        <v>946.17891625571417</v>
      </c>
      <c r="N40" s="8">
        <v>1119.3341113114002</v>
      </c>
    </row>
    <row r="41" spans="1:14" ht="16.5" thickTop="1" thickBot="1" x14ac:dyDescent="0.3">
      <c r="A41" s="2">
        <v>2049</v>
      </c>
      <c r="B41" s="4">
        <f t="shared" si="0"/>
        <v>731.62594129656975</v>
      </c>
      <c r="C41" s="4">
        <f t="shared" si="1"/>
        <v>793.56407907594712</v>
      </c>
      <c r="D41" s="4">
        <f t="shared" si="2"/>
        <v>942.8692397232569</v>
      </c>
      <c r="K41" s="2">
        <v>2049</v>
      </c>
      <c r="L41" s="4">
        <v>861.88950560693866</v>
      </c>
      <c r="M41" s="6">
        <v>934.8555227143645</v>
      </c>
      <c r="N41" s="8">
        <v>1110.7439703913601</v>
      </c>
    </row>
    <row r="42" spans="1:14" ht="16.5" thickTop="1" thickBot="1" x14ac:dyDescent="0.3">
      <c r="A42" s="2">
        <v>2050</v>
      </c>
      <c r="B42" s="4">
        <f t="shared" si="0"/>
        <v>721.17239969805132</v>
      </c>
      <c r="C42" s="4">
        <f t="shared" si="1"/>
        <v>783.95207149902819</v>
      </c>
      <c r="D42" s="4">
        <f t="shared" si="2"/>
        <v>935.57738862678877</v>
      </c>
      <c r="K42" s="2">
        <v>2050</v>
      </c>
      <c r="L42" s="4">
        <v>849.57474571170906</v>
      </c>
      <c r="M42" s="6">
        <v>923.53212917301573</v>
      </c>
      <c r="N42" s="8">
        <v>1102.1538294713203</v>
      </c>
    </row>
    <row r="43" spans="1:14" ht="15.75" thickTop="1" x14ac:dyDescent="0.25"/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8"/>
  <sheetViews>
    <sheetView workbookViewId="0">
      <selection activeCell="H7" sqref="H7"/>
    </sheetView>
  </sheetViews>
  <sheetFormatPr defaultRowHeight="15" x14ac:dyDescent="0.25"/>
  <sheetData>
    <row r="1" spans="1:31" x14ac:dyDescent="0.25"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54</v>
      </c>
      <c r="B2">
        <v>9440.137740281305</v>
      </c>
      <c r="C2">
        <v>9125.5788123245911</v>
      </c>
      <c r="D2">
        <v>8811.0198843678772</v>
      </c>
      <c r="E2">
        <v>8496.4609564111652</v>
      </c>
      <c r="F2">
        <v>8106.0209991082356</v>
      </c>
      <c r="G2">
        <v>7955.8390899990745</v>
      </c>
      <c r="H2">
        <v>7876.0185610796298</v>
      </c>
      <c r="I2">
        <v>7824.1905871874478</v>
      </c>
      <c r="J2">
        <v>7776.1801383971042</v>
      </c>
      <c r="K2">
        <v>7729.5858475977566</v>
      </c>
      <c r="L2">
        <v>7669.6939714435775</v>
      </c>
      <c r="M2">
        <v>7614.2989152028567</v>
      </c>
      <c r="N2">
        <v>7568.6284254560178</v>
      </c>
      <c r="O2">
        <v>7520.0573060058487</v>
      </c>
      <c r="P2">
        <v>7472.8796728858806</v>
      </c>
      <c r="Q2">
        <v>7418.8323643075673</v>
      </c>
      <c r="R2">
        <v>7365.2548747921555</v>
      </c>
      <c r="S2">
        <v>7316.2213790784463</v>
      </c>
      <c r="T2">
        <v>7258.853541705661</v>
      </c>
      <c r="U2">
        <v>7209.0719231132016</v>
      </c>
      <c r="V2">
        <v>7164.5078998610852</v>
      </c>
      <c r="W2">
        <v>7111.8596129308908</v>
      </c>
      <c r="X2">
        <v>7065.3424067217111</v>
      </c>
      <c r="Y2">
        <v>7015.0198228333184</v>
      </c>
      <c r="Z2">
        <v>6961.4246104836438</v>
      </c>
      <c r="AA2">
        <v>6908.9194081268652</v>
      </c>
      <c r="AB2">
        <v>6859.1547247248427</v>
      </c>
      <c r="AC2">
        <v>6808.0841833008481</v>
      </c>
      <c r="AD2">
        <v>6752.1784815857036</v>
      </c>
      <c r="AE2">
        <v>6668.125163821207</v>
      </c>
    </row>
    <row r="3" spans="1:31" x14ac:dyDescent="0.25">
      <c r="A3" t="s">
        <v>55</v>
      </c>
      <c r="B3">
        <v>9440.137740281305</v>
      </c>
      <c r="C3">
        <v>9125.5788123245911</v>
      </c>
      <c r="D3">
        <v>8811.0198843678772</v>
      </c>
      <c r="E3">
        <v>8811.0198843678772</v>
      </c>
      <c r="F3">
        <v>8811.0198843678772</v>
      </c>
      <c r="G3">
        <v>8811.0198843678772</v>
      </c>
      <c r="H3">
        <v>8811.0198843678772</v>
      </c>
      <c r="I3">
        <v>8811.0198843678772</v>
      </c>
      <c r="J3">
        <v>8811.0198843678772</v>
      </c>
      <c r="K3">
        <v>8811.0198843678772</v>
      </c>
      <c r="L3">
        <v>8811.0198843678772</v>
      </c>
      <c r="M3">
        <v>8811.0198843678772</v>
      </c>
      <c r="N3">
        <v>8811.0198843678772</v>
      </c>
      <c r="O3">
        <v>8811.0198843678772</v>
      </c>
      <c r="P3">
        <v>8811.0198843678772</v>
      </c>
      <c r="Q3">
        <v>8811.0198843678772</v>
      </c>
      <c r="R3">
        <v>8811.0198843678772</v>
      </c>
      <c r="S3">
        <v>8811.0198843678772</v>
      </c>
      <c r="T3">
        <v>8811.0198843678772</v>
      </c>
      <c r="U3">
        <v>8811.0198843678772</v>
      </c>
      <c r="V3">
        <v>8811.0198843678772</v>
      </c>
      <c r="W3">
        <v>8811.0198843678772</v>
      </c>
      <c r="X3">
        <v>8811.0198843678772</v>
      </c>
      <c r="Y3">
        <v>8811.0198843678772</v>
      </c>
      <c r="Z3">
        <v>8811.0198843678772</v>
      </c>
      <c r="AA3">
        <v>8811.0198843678772</v>
      </c>
      <c r="AB3">
        <v>8811.0198843678772</v>
      </c>
      <c r="AC3">
        <v>8811.0198843678772</v>
      </c>
      <c r="AD3">
        <v>8811.0198843678772</v>
      </c>
      <c r="AE3">
        <v>8811.0198843678772</v>
      </c>
    </row>
    <row r="4" spans="1:31" x14ac:dyDescent="0.25">
      <c r="A4" s="14" t="s">
        <v>28</v>
      </c>
      <c r="B4" s="12">
        <v>2.351778656126482</v>
      </c>
      <c r="C4" s="12">
        <v>2.351778656126482</v>
      </c>
      <c r="D4" s="12">
        <v>2.351778656126482</v>
      </c>
      <c r="E4" s="12">
        <v>2.351778656126482</v>
      </c>
      <c r="F4" s="12">
        <v>2.351778656126482</v>
      </c>
      <c r="G4" s="12">
        <v>2.351778656126482</v>
      </c>
      <c r="H4" s="12">
        <v>2.351778656126482</v>
      </c>
      <c r="I4" s="12">
        <v>2.351778656126482</v>
      </c>
      <c r="J4" s="12">
        <v>2.351778656126482</v>
      </c>
      <c r="K4" s="12">
        <v>2.351778656126482</v>
      </c>
      <c r="L4" s="12">
        <v>2.351778656126482</v>
      </c>
      <c r="M4" s="12">
        <v>2.351778656126482</v>
      </c>
      <c r="N4" s="12">
        <v>2.351778656126482</v>
      </c>
      <c r="O4" s="12">
        <v>2.351778656126482</v>
      </c>
      <c r="P4" s="12">
        <v>2.351778656126482</v>
      </c>
      <c r="Q4" s="12">
        <v>2.351778656126482</v>
      </c>
      <c r="R4" s="12">
        <v>2.351778656126482</v>
      </c>
      <c r="S4" s="12">
        <v>2.351778656126482</v>
      </c>
      <c r="T4" s="12">
        <v>2.351778656126482</v>
      </c>
      <c r="U4" s="12">
        <v>2.351778656126482</v>
      </c>
      <c r="V4" s="12">
        <v>2.351778656126482</v>
      </c>
      <c r="W4" s="12">
        <v>2.351778656126482</v>
      </c>
      <c r="X4" s="12">
        <v>2.351778656126482</v>
      </c>
      <c r="Y4" s="12">
        <v>2.351778656126482</v>
      </c>
      <c r="Z4" s="12">
        <v>2.351778656126482</v>
      </c>
      <c r="AA4" s="12">
        <v>2.351778656126482</v>
      </c>
      <c r="AB4" s="12">
        <v>2.351778656126482</v>
      </c>
      <c r="AC4" s="12">
        <v>2.351778656126482</v>
      </c>
      <c r="AD4" s="12">
        <v>2.351778656126482</v>
      </c>
      <c r="AE4" s="12">
        <v>2.351778656126482</v>
      </c>
    </row>
    <row r="7" spans="1:31" x14ac:dyDescent="0.25">
      <c r="B7" t="s">
        <v>54</v>
      </c>
      <c r="C7" t="s">
        <v>55</v>
      </c>
      <c r="D7" s="14" t="s">
        <v>28</v>
      </c>
      <c r="G7" t="s">
        <v>36</v>
      </c>
      <c r="H7">
        <f>16000/6.5</f>
        <v>2461.5384615384614</v>
      </c>
      <c r="K7" t="s">
        <v>27</v>
      </c>
      <c r="L7" t="s">
        <v>17</v>
      </c>
      <c r="M7" s="14" t="s">
        <v>28</v>
      </c>
    </row>
    <row r="8" spans="1:31" x14ac:dyDescent="0.25">
      <c r="A8">
        <v>2020</v>
      </c>
      <c r="B8">
        <f>$H$7*K8/K$8</f>
        <v>2461.5384615384614</v>
      </c>
      <c r="C8">
        <f>$H$7*L8/L$8</f>
        <v>2461.5384615384614</v>
      </c>
      <c r="D8" s="12">
        <v>2.351778656126482</v>
      </c>
      <c r="J8">
        <v>2020</v>
      </c>
      <c r="K8">
        <v>9440.137740281305</v>
      </c>
      <c r="L8">
        <v>9440.137740281305</v>
      </c>
      <c r="M8" s="12">
        <v>2.351778656126482</v>
      </c>
    </row>
    <row r="9" spans="1:31" x14ac:dyDescent="0.25">
      <c r="A9">
        <v>2021</v>
      </c>
      <c r="B9">
        <f t="shared" ref="B9:B38" si="0">$H$7*K9/K$8</f>
        <v>2461.5384615384614</v>
      </c>
      <c r="C9">
        <f t="shared" ref="C9:C38" si="1">$H$7*L9/L$8</f>
        <v>2461.5384615384614</v>
      </c>
      <c r="D9" s="12">
        <v>2.351778656126482</v>
      </c>
      <c r="J9">
        <v>2021</v>
      </c>
      <c r="K9">
        <v>9440.137740281305</v>
      </c>
      <c r="L9">
        <v>9440.137740281305</v>
      </c>
      <c r="M9" s="12">
        <v>2.351778656126482</v>
      </c>
    </row>
    <row r="10" spans="1:31" x14ac:dyDescent="0.25">
      <c r="A10">
        <v>2022</v>
      </c>
      <c r="B10">
        <f t="shared" si="0"/>
        <v>2379.5164698166877</v>
      </c>
      <c r="C10">
        <f t="shared" si="1"/>
        <v>2379.5164698166877</v>
      </c>
      <c r="D10" s="12">
        <v>2.351778656126482</v>
      </c>
      <c r="J10">
        <v>2022</v>
      </c>
      <c r="K10">
        <v>9125.5788123245911</v>
      </c>
      <c r="L10">
        <v>9125.5788123245911</v>
      </c>
      <c r="M10" s="12">
        <v>2.351778656126482</v>
      </c>
    </row>
    <row r="11" spans="1:31" x14ac:dyDescent="0.25">
      <c r="A11">
        <v>2023</v>
      </c>
      <c r="B11">
        <f t="shared" si="0"/>
        <v>2297.494478094914</v>
      </c>
      <c r="C11">
        <f t="shared" si="1"/>
        <v>2297.494478094914</v>
      </c>
      <c r="D11" s="12">
        <v>2.351778656126482</v>
      </c>
      <c r="J11">
        <v>2023</v>
      </c>
      <c r="K11">
        <v>8811.0198843678772</v>
      </c>
      <c r="L11">
        <v>8811.0198843678772</v>
      </c>
      <c r="M11" s="12">
        <v>2.351778656126482</v>
      </c>
    </row>
    <row r="12" spans="1:31" x14ac:dyDescent="0.25">
      <c r="A12">
        <v>2024</v>
      </c>
      <c r="B12">
        <f t="shared" si="0"/>
        <v>2215.4724863731408</v>
      </c>
      <c r="C12">
        <f t="shared" si="1"/>
        <v>2297.494478094914</v>
      </c>
      <c r="D12" s="12">
        <v>2.351778656126482</v>
      </c>
      <c r="J12">
        <v>2024</v>
      </c>
      <c r="K12">
        <v>8496.4609564111652</v>
      </c>
      <c r="L12">
        <v>8811.0198843678772</v>
      </c>
      <c r="M12" s="12">
        <v>2.351778656126482</v>
      </c>
    </row>
    <row r="13" spans="1:31" x14ac:dyDescent="0.25">
      <c r="A13">
        <v>2025</v>
      </c>
      <c r="B13">
        <f t="shared" si="0"/>
        <v>2113.66433502365</v>
      </c>
      <c r="C13">
        <f t="shared" si="1"/>
        <v>2297.494478094914</v>
      </c>
      <c r="D13" s="12">
        <v>2.351778656126482</v>
      </c>
      <c r="J13">
        <v>2025</v>
      </c>
      <c r="K13">
        <v>8106.0209991082356</v>
      </c>
      <c r="L13">
        <v>8811.0198843678772</v>
      </c>
      <c r="M13" s="12">
        <v>2.351778656126482</v>
      </c>
    </row>
    <row r="14" spans="1:31" x14ac:dyDescent="0.25">
      <c r="A14">
        <v>2026</v>
      </c>
      <c r="B14">
        <f t="shared" si="0"/>
        <v>2074.5040435459055</v>
      </c>
      <c r="C14">
        <f t="shared" si="1"/>
        <v>2297.494478094914</v>
      </c>
      <c r="D14" s="12">
        <v>2.351778656126482</v>
      </c>
      <c r="J14">
        <v>2026</v>
      </c>
      <c r="K14">
        <v>7955.8390899990745</v>
      </c>
      <c r="L14">
        <v>8811.0198843678772</v>
      </c>
      <c r="M14" s="12">
        <v>2.351778656126482</v>
      </c>
    </row>
    <row r="15" spans="1:31" x14ac:dyDescent="0.25">
      <c r="A15">
        <v>2027</v>
      </c>
      <c r="B15">
        <f t="shared" si="0"/>
        <v>2053.6906499958131</v>
      </c>
      <c r="C15">
        <f t="shared" si="1"/>
        <v>2297.494478094914</v>
      </c>
      <c r="D15" s="12">
        <v>2.351778656126482</v>
      </c>
      <c r="J15">
        <v>2027</v>
      </c>
      <c r="K15">
        <v>7876.0185610796298</v>
      </c>
      <c r="L15">
        <v>8811.0198843678772</v>
      </c>
      <c r="M15" s="12">
        <v>2.351778656126482</v>
      </c>
    </row>
    <row r="16" spans="1:31" x14ac:dyDescent="0.25">
      <c r="A16">
        <v>2028</v>
      </c>
      <c r="B16">
        <f t="shared" si="0"/>
        <v>2040.1763820233398</v>
      </c>
      <c r="C16">
        <f t="shared" si="1"/>
        <v>2297.494478094914</v>
      </c>
      <c r="D16" s="12">
        <v>2.351778656126482</v>
      </c>
      <c r="J16">
        <v>2028</v>
      </c>
      <c r="K16">
        <v>7824.1905871874478</v>
      </c>
      <c r="L16">
        <v>8811.0198843678772</v>
      </c>
      <c r="M16" s="12">
        <v>2.351778656126482</v>
      </c>
    </row>
    <row r="17" spans="1:13" x14ac:dyDescent="0.25">
      <c r="A17">
        <v>2029</v>
      </c>
      <c r="B17">
        <f t="shared" si="0"/>
        <v>2027.6575428385177</v>
      </c>
      <c r="C17">
        <f t="shared" si="1"/>
        <v>2297.494478094914</v>
      </c>
      <c r="D17" s="12">
        <v>2.351778656126482</v>
      </c>
      <c r="J17">
        <v>2029</v>
      </c>
      <c r="K17">
        <v>7776.1801383971042</v>
      </c>
      <c r="L17">
        <v>8811.0198843678772</v>
      </c>
      <c r="M17" s="12">
        <v>2.351778656126482</v>
      </c>
    </row>
    <row r="18" spans="1:13" x14ac:dyDescent="0.25">
      <c r="A18">
        <v>2030</v>
      </c>
      <c r="B18">
        <f t="shared" si="0"/>
        <v>2015.5079702320395</v>
      </c>
      <c r="C18">
        <f t="shared" si="1"/>
        <v>2297.494478094914</v>
      </c>
      <c r="D18" s="12">
        <v>2.351778656126482</v>
      </c>
      <c r="J18">
        <v>2030</v>
      </c>
      <c r="K18">
        <v>7729.5858475977566</v>
      </c>
      <c r="L18">
        <v>8811.0198843678772</v>
      </c>
      <c r="M18" s="12">
        <v>2.351778656126482</v>
      </c>
    </row>
    <row r="19" spans="1:13" x14ac:dyDescent="0.25">
      <c r="A19">
        <v>2031</v>
      </c>
      <c r="B19">
        <f t="shared" si="0"/>
        <v>1999.8910204858362</v>
      </c>
      <c r="C19">
        <f t="shared" si="1"/>
        <v>2297.494478094914</v>
      </c>
      <c r="D19" s="12">
        <v>2.351778656126482</v>
      </c>
      <c r="J19">
        <v>2031</v>
      </c>
      <c r="K19">
        <v>7669.6939714435775</v>
      </c>
      <c r="L19">
        <v>8811.0198843678772</v>
      </c>
      <c r="M19" s="12">
        <v>2.351778656126482</v>
      </c>
    </row>
    <row r="20" spans="1:13" x14ac:dyDescent="0.25">
      <c r="A20">
        <v>2032</v>
      </c>
      <c r="B20">
        <f t="shared" si="0"/>
        <v>1985.4466272717648</v>
      </c>
      <c r="C20">
        <f t="shared" si="1"/>
        <v>2297.494478094914</v>
      </c>
      <c r="D20" s="12">
        <v>2.351778656126482</v>
      </c>
      <c r="J20">
        <v>2032</v>
      </c>
      <c r="K20">
        <v>7614.2989152028567</v>
      </c>
      <c r="L20">
        <v>8811.0198843678772</v>
      </c>
      <c r="M20" s="12">
        <v>2.351778656126482</v>
      </c>
    </row>
    <row r="21" spans="1:13" x14ac:dyDescent="0.25">
      <c r="A21">
        <v>2033</v>
      </c>
      <c r="B21">
        <f t="shared" si="0"/>
        <v>1973.5379379960307</v>
      </c>
      <c r="C21">
        <f t="shared" si="1"/>
        <v>2297.494478094914</v>
      </c>
      <c r="D21" s="12">
        <v>2.351778656126482</v>
      </c>
      <c r="J21">
        <v>2033</v>
      </c>
      <c r="K21">
        <v>7568.6284254560178</v>
      </c>
      <c r="L21">
        <v>8811.0198843678772</v>
      </c>
      <c r="M21" s="12">
        <v>2.351778656126482</v>
      </c>
    </row>
    <row r="22" spans="1:13" x14ac:dyDescent="0.25">
      <c r="A22">
        <v>2034</v>
      </c>
      <c r="B22">
        <f t="shared" si="0"/>
        <v>1960.8729025976161</v>
      </c>
      <c r="C22">
        <f t="shared" si="1"/>
        <v>2297.494478094914</v>
      </c>
      <c r="D22" s="12">
        <v>2.351778656126482</v>
      </c>
      <c r="J22">
        <v>2034</v>
      </c>
      <c r="K22">
        <v>7520.0573060058487</v>
      </c>
      <c r="L22">
        <v>8811.0198843678772</v>
      </c>
      <c r="M22" s="12">
        <v>2.351778656126482</v>
      </c>
    </row>
    <row r="23" spans="1:13" x14ac:dyDescent="0.25">
      <c r="A23">
        <v>2035</v>
      </c>
      <c r="B23">
        <f t="shared" si="0"/>
        <v>1948.5712220878472</v>
      </c>
      <c r="C23">
        <f t="shared" si="1"/>
        <v>2297.494478094914</v>
      </c>
      <c r="D23" s="12">
        <v>2.351778656126482</v>
      </c>
      <c r="J23">
        <v>2035</v>
      </c>
      <c r="K23">
        <v>7472.8796728858806</v>
      </c>
      <c r="L23">
        <v>8811.0198843678772</v>
      </c>
      <c r="M23" s="12">
        <v>2.351778656126482</v>
      </c>
    </row>
    <row r="24" spans="1:13" x14ac:dyDescent="0.25">
      <c r="A24">
        <v>2036</v>
      </c>
      <c r="B24">
        <f t="shared" si="0"/>
        <v>1934.4782572955571</v>
      </c>
      <c r="C24">
        <f t="shared" si="1"/>
        <v>2297.494478094914</v>
      </c>
      <c r="D24" s="12">
        <v>2.351778656126482</v>
      </c>
      <c r="J24">
        <v>2036</v>
      </c>
      <c r="K24">
        <v>7418.8323643075673</v>
      </c>
      <c r="L24">
        <v>8811.0198843678772</v>
      </c>
      <c r="M24" s="12">
        <v>2.351778656126482</v>
      </c>
    </row>
    <row r="25" spans="1:13" x14ac:dyDescent="0.25">
      <c r="A25">
        <v>2037</v>
      </c>
      <c r="B25">
        <f t="shared" si="0"/>
        <v>1920.507798945981</v>
      </c>
      <c r="C25">
        <f t="shared" si="1"/>
        <v>2297.494478094914</v>
      </c>
      <c r="D25" s="12">
        <v>2.351778656126482</v>
      </c>
      <c r="J25">
        <v>2037</v>
      </c>
      <c r="K25">
        <v>7365.2548747921555</v>
      </c>
      <c r="L25">
        <v>8811.0198843678772</v>
      </c>
      <c r="M25" s="12">
        <v>2.351778656126482</v>
      </c>
    </row>
    <row r="26" spans="1:13" x14ac:dyDescent="0.25">
      <c r="A26">
        <v>2038</v>
      </c>
      <c r="B26">
        <f t="shared" si="0"/>
        <v>1907.7221978325613</v>
      </c>
      <c r="C26">
        <f t="shared" si="1"/>
        <v>2297.494478094914</v>
      </c>
      <c r="D26" s="12">
        <v>2.351778656126482</v>
      </c>
      <c r="J26">
        <v>2038</v>
      </c>
      <c r="K26">
        <v>7316.2213790784463</v>
      </c>
      <c r="L26">
        <v>8811.0198843678772</v>
      </c>
      <c r="M26" s="12">
        <v>2.351778656126482</v>
      </c>
    </row>
    <row r="27" spans="1:13" x14ac:dyDescent="0.25">
      <c r="A27">
        <v>2039</v>
      </c>
      <c r="B27">
        <f t="shared" si="0"/>
        <v>1892.7633972267361</v>
      </c>
      <c r="C27">
        <f t="shared" si="1"/>
        <v>2297.494478094914</v>
      </c>
      <c r="D27" s="12">
        <v>2.351778656126482</v>
      </c>
      <c r="J27">
        <v>2039</v>
      </c>
      <c r="K27">
        <v>7258.853541705661</v>
      </c>
      <c r="L27">
        <v>8811.0198843678772</v>
      </c>
      <c r="M27" s="12">
        <v>2.351778656126482</v>
      </c>
    </row>
    <row r="28" spans="1:13" x14ac:dyDescent="0.25">
      <c r="A28">
        <v>2040</v>
      </c>
      <c r="B28">
        <f t="shared" si="0"/>
        <v>1879.7827212859497</v>
      </c>
      <c r="C28">
        <f t="shared" si="1"/>
        <v>2297.494478094914</v>
      </c>
      <c r="D28" s="12">
        <v>2.351778656126482</v>
      </c>
      <c r="J28">
        <v>2040</v>
      </c>
      <c r="K28">
        <v>7209.0719231132016</v>
      </c>
      <c r="L28">
        <v>8811.0198843678772</v>
      </c>
      <c r="M28" s="12">
        <v>2.351778656126482</v>
      </c>
    </row>
    <row r="29" spans="1:13" x14ac:dyDescent="0.25">
      <c r="A29">
        <v>2041</v>
      </c>
      <c r="B29">
        <f t="shared" si="0"/>
        <v>1868.1625457912742</v>
      </c>
      <c r="C29">
        <f t="shared" si="1"/>
        <v>2297.494478094914</v>
      </c>
      <c r="D29" s="12">
        <v>2.351778656126482</v>
      </c>
      <c r="J29">
        <v>2041</v>
      </c>
      <c r="K29">
        <v>7164.5078998610852</v>
      </c>
      <c r="L29">
        <v>8811.0198843678772</v>
      </c>
      <c r="M29" s="12">
        <v>2.351778656126482</v>
      </c>
    </row>
    <row r="30" spans="1:13" x14ac:dyDescent="0.25">
      <c r="A30">
        <v>2042</v>
      </c>
      <c r="B30">
        <f t="shared" si="0"/>
        <v>1854.4343792349962</v>
      </c>
      <c r="C30">
        <f t="shared" si="1"/>
        <v>2297.494478094914</v>
      </c>
      <c r="D30" s="12">
        <v>2.351778656126482</v>
      </c>
      <c r="J30">
        <v>2042</v>
      </c>
      <c r="K30">
        <v>7111.8596129308908</v>
      </c>
      <c r="L30">
        <v>8811.0198843678772</v>
      </c>
      <c r="M30" s="12">
        <v>2.351778656126482</v>
      </c>
    </row>
    <row r="31" spans="1:13" x14ac:dyDescent="0.25">
      <c r="A31">
        <v>2043</v>
      </c>
      <c r="B31">
        <f t="shared" si="0"/>
        <v>1842.3049066195047</v>
      </c>
      <c r="C31">
        <f t="shared" si="1"/>
        <v>2297.494478094914</v>
      </c>
      <c r="D31" s="12">
        <v>2.351778656126482</v>
      </c>
      <c r="J31">
        <v>2043</v>
      </c>
      <c r="K31">
        <v>7065.3424067217111</v>
      </c>
      <c r="L31">
        <v>8811.0198843678772</v>
      </c>
      <c r="M31" s="12">
        <v>2.351778656126482</v>
      </c>
    </row>
    <row r="32" spans="1:13" x14ac:dyDescent="0.25">
      <c r="A32">
        <v>2044</v>
      </c>
      <c r="B32">
        <f t="shared" si="0"/>
        <v>1829.1831726858234</v>
      </c>
      <c r="C32">
        <f t="shared" si="1"/>
        <v>2297.494478094914</v>
      </c>
      <c r="D32" s="12">
        <v>2.351778656126482</v>
      </c>
      <c r="J32">
        <v>2044</v>
      </c>
      <c r="K32">
        <v>7015.0198228333184</v>
      </c>
      <c r="L32">
        <v>8811.0198843678772</v>
      </c>
      <c r="M32" s="12">
        <v>2.351778656126482</v>
      </c>
    </row>
    <row r="33" spans="1:13" x14ac:dyDescent="0.25">
      <c r="A33">
        <v>2045</v>
      </c>
      <c r="B33">
        <f t="shared" si="0"/>
        <v>1815.2080930648863</v>
      </c>
      <c r="C33">
        <f t="shared" si="1"/>
        <v>2297.494478094914</v>
      </c>
      <c r="D33" s="12">
        <v>2.351778656126482</v>
      </c>
      <c r="J33">
        <v>2045</v>
      </c>
      <c r="K33">
        <v>6961.4246104836438</v>
      </c>
      <c r="L33">
        <v>8811.0198843678772</v>
      </c>
      <c r="M33" s="12">
        <v>2.351778656126482</v>
      </c>
    </row>
    <row r="34" spans="1:13" x14ac:dyDescent="0.25">
      <c r="A34">
        <v>2046</v>
      </c>
      <c r="B34">
        <f t="shared" si="0"/>
        <v>1801.5172361528537</v>
      </c>
      <c r="C34">
        <f t="shared" si="1"/>
        <v>2297.494478094914</v>
      </c>
      <c r="D34" s="12">
        <v>2.351778656126482</v>
      </c>
      <c r="J34">
        <v>2046</v>
      </c>
      <c r="K34">
        <v>6908.9194081268652</v>
      </c>
      <c r="L34">
        <v>8811.0198843678772</v>
      </c>
      <c r="M34" s="12">
        <v>2.351778656126482</v>
      </c>
    </row>
    <row r="35" spans="1:13" x14ac:dyDescent="0.25">
      <c r="A35">
        <v>2047</v>
      </c>
      <c r="B35">
        <f t="shared" si="0"/>
        <v>1788.5409761034198</v>
      </c>
      <c r="C35">
        <f t="shared" si="1"/>
        <v>2297.494478094914</v>
      </c>
      <c r="D35" s="12">
        <v>2.351778656126482</v>
      </c>
      <c r="J35">
        <v>2047</v>
      </c>
      <c r="K35">
        <v>6859.1547247248427</v>
      </c>
      <c r="L35">
        <v>8811.0198843678772</v>
      </c>
      <c r="M35" s="12">
        <v>2.351778656126482</v>
      </c>
    </row>
    <row r="36" spans="1:13" x14ac:dyDescent="0.25">
      <c r="A36">
        <v>2048</v>
      </c>
      <c r="B36">
        <f t="shared" si="0"/>
        <v>1775.2242104559932</v>
      </c>
      <c r="C36">
        <f t="shared" si="1"/>
        <v>2297.494478094914</v>
      </c>
      <c r="D36" s="12">
        <v>2.351778656126482</v>
      </c>
      <c r="J36">
        <v>2048</v>
      </c>
      <c r="K36">
        <v>6808.0841833008481</v>
      </c>
      <c r="L36">
        <v>8811.0198843678772</v>
      </c>
      <c r="M36" s="12">
        <v>2.351778656126482</v>
      </c>
    </row>
    <row r="37" spans="1:13" x14ac:dyDescent="0.25">
      <c r="A37">
        <v>2049</v>
      </c>
      <c r="B37">
        <f t="shared" si="0"/>
        <v>1760.6466652148974</v>
      </c>
      <c r="C37">
        <f t="shared" si="1"/>
        <v>2297.494478094914</v>
      </c>
      <c r="D37" s="12">
        <v>2.351778656126482</v>
      </c>
      <c r="J37">
        <v>2049</v>
      </c>
      <c r="K37">
        <v>6752.1784815857036</v>
      </c>
      <c r="L37">
        <v>8811.0198843678772</v>
      </c>
      <c r="M37" s="12">
        <v>2.351778656126482</v>
      </c>
    </row>
    <row r="38" spans="1:13" x14ac:dyDescent="0.25">
      <c r="A38">
        <v>2050</v>
      </c>
      <c r="B38">
        <f t="shared" si="0"/>
        <v>1738.7295618643423</v>
      </c>
      <c r="C38">
        <f t="shared" si="1"/>
        <v>2297.494478094914</v>
      </c>
      <c r="D38" s="12">
        <v>2.351778656126482</v>
      </c>
      <c r="J38">
        <v>2050</v>
      </c>
      <c r="K38">
        <v>6668.125163821207</v>
      </c>
      <c r="L38">
        <v>8811.0198843678772</v>
      </c>
      <c r="M38" s="12">
        <v>2.351778656126482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1"/>
  <sheetViews>
    <sheetView workbookViewId="0">
      <selection activeCell="J27" sqref="J27"/>
    </sheetView>
  </sheetViews>
  <sheetFormatPr defaultRowHeight="15" x14ac:dyDescent="0.25"/>
  <sheetData>
    <row r="1" spans="1:31" x14ac:dyDescent="0.25">
      <c r="A1" s="15"/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</row>
    <row r="2" spans="1:31" x14ac:dyDescent="0.25">
      <c r="A2" s="16" t="s">
        <v>18</v>
      </c>
      <c r="B2" s="4">
        <v>3549.4084745783584</v>
      </c>
      <c r="C2" s="4">
        <v>3549.4084745783584</v>
      </c>
      <c r="D2" s="4">
        <v>3539.3443416123191</v>
      </c>
      <c r="E2" s="4">
        <v>3529.2802086462798</v>
      </c>
      <c r="F2" s="4">
        <v>3519.0918271251044</v>
      </c>
      <c r="G2" s="4">
        <v>3509.0276941590646</v>
      </c>
      <c r="H2" s="4">
        <v>3498.9635611930253</v>
      </c>
      <c r="I2" s="4">
        <v>3488.8994282269859</v>
      </c>
      <c r="J2" s="4">
        <v>3478.8352952609466</v>
      </c>
      <c r="K2" s="4">
        <v>3468.6469137397708</v>
      </c>
      <c r="L2" s="4">
        <v>3458.5827807737314</v>
      </c>
      <c r="M2" s="4">
        <v>3448.5186478076921</v>
      </c>
      <c r="N2" s="4">
        <v>3438.4545148416528</v>
      </c>
      <c r="O2" s="4">
        <v>3428.3903818756135</v>
      </c>
      <c r="P2" s="4">
        <v>3418.2020003544376</v>
      </c>
      <c r="Q2" s="4">
        <v>3383.536653471413</v>
      </c>
      <c r="R2" s="4">
        <v>3348.871306588389</v>
      </c>
      <c r="S2" s="4">
        <v>3314.2059597053644</v>
      </c>
      <c r="T2" s="4">
        <v>3279.5406128223394</v>
      </c>
      <c r="U2" s="4">
        <v>3244.7510173841788</v>
      </c>
      <c r="V2" s="4">
        <v>3210.0856705011543</v>
      </c>
      <c r="W2" s="4">
        <v>3175.4203236181293</v>
      </c>
      <c r="X2" s="4">
        <v>3140.7549767351052</v>
      </c>
      <c r="Y2" s="4">
        <v>3106.0896298520806</v>
      </c>
      <c r="Z2" s="4">
        <v>3071.30003441392</v>
      </c>
      <c r="AA2" s="4">
        <v>3036.634687530895</v>
      </c>
      <c r="AB2" s="4">
        <v>3001.9693406478705</v>
      </c>
      <c r="AC2" s="4">
        <v>2967.3039937648459</v>
      </c>
      <c r="AD2" s="4">
        <v>2932.6386468818218</v>
      </c>
      <c r="AE2" s="4">
        <v>2897.8490514436608</v>
      </c>
    </row>
    <row r="3" spans="1:31" x14ac:dyDescent="0.25">
      <c r="A3" s="17" t="s">
        <v>19</v>
      </c>
      <c r="B3" s="6">
        <v>3549.4084745783584</v>
      </c>
      <c r="C3" s="6">
        <v>3549.4084745783584</v>
      </c>
      <c r="D3" s="6">
        <v>3530.1499485322338</v>
      </c>
      <c r="E3" s="6">
        <v>3510.7671739309726</v>
      </c>
      <c r="F3" s="6">
        <v>3491.3843993297119</v>
      </c>
      <c r="G3" s="6">
        <v>3472.1258732835872</v>
      </c>
      <c r="H3" s="6">
        <v>3452.743098682326</v>
      </c>
      <c r="I3" s="6">
        <v>3433.4845726362014</v>
      </c>
      <c r="J3" s="6">
        <v>3414.1017980349402</v>
      </c>
      <c r="K3" s="6">
        <v>3394.8432719888156</v>
      </c>
      <c r="L3" s="6">
        <v>3375.4604973875544</v>
      </c>
      <c r="M3" s="6">
        <v>3356.2019713414293</v>
      </c>
      <c r="N3" s="6">
        <v>3336.8191967401685</v>
      </c>
      <c r="O3" s="6">
        <v>3317.5606706940439</v>
      </c>
      <c r="P3" s="6">
        <v>3298.1778960927827</v>
      </c>
      <c r="Q3" s="6">
        <v>3266.6187630881655</v>
      </c>
      <c r="R3" s="6">
        <v>3234.9353815284117</v>
      </c>
      <c r="S3" s="6">
        <v>3203.2519999686583</v>
      </c>
      <c r="T3" s="6">
        <v>3171.6928669640406</v>
      </c>
      <c r="U3" s="6">
        <v>3140.0094854042873</v>
      </c>
      <c r="V3" s="6">
        <v>3108.4503523996705</v>
      </c>
      <c r="W3" s="6">
        <v>3076.7669708399167</v>
      </c>
      <c r="X3" s="6">
        <v>3045.2078378352994</v>
      </c>
      <c r="Y3" s="6">
        <v>3013.5244562755456</v>
      </c>
      <c r="Z3" s="6">
        <v>2981.9653232709284</v>
      </c>
      <c r="AA3" s="6">
        <v>2950.2819417111746</v>
      </c>
      <c r="AB3" s="6">
        <v>2918.7228087065573</v>
      </c>
      <c r="AC3" s="6">
        <v>2887.0394271468035</v>
      </c>
      <c r="AD3" s="6">
        <v>2855.4802941421863</v>
      </c>
      <c r="AE3" s="6">
        <v>2823.7969125824325</v>
      </c>
    </row>
    <row r="4" spans="1:31" ht="15.75" thickBot="1" x14ac:dyDescent="0.3">
      <c r="A4" s="17" t="s">
        <v>20</v>
      </c>
      <c r="B4" s="8">
        <v>3549.4084745783584</v>
      </c>
      <c r="C4" s="8">
        <v>3549.4084745783584</v>
      </c>
      <c r="D4" s="8">
        <v>3520.8313068970119</v>
      </c>
      <c r="E4" s="8">
        <v>3492.2541392156654</v>
      </c>
      <c r="F4" s="8">
        <v>3463.6769715343194</v>
      </c>
      <c r="G4" s="8">
        <v>3435.2240524081094</v>
      </c>
      <c r="H4" s="8">
        <v>3406.6468847267629</v>
      </c>
      <c r="I4" s="8">
        <v>3378.0697170454168</v>
      </c>
      <c r="J4" s="8">
        <v>3349.4925493640703</v>
      </c>
      <c r="K4" s="8">
        <v>3320.9153816827238</v>
      </c>
      <c r="L4" s="8">
        <v>3292.3382140013773</v>
      </c>
      <c r="M4" s="8">
        <v>3263.7610463200313</v>
      </c>
      <c r="N4" s="8">
        <v>3235.3081271938208</v>
      </c>
      <c r="O4" s="8">
        <v>3206.7309595124743</v>
      </c>
      <c r="P4" s="8">
        <v>3178.1537918311283</v>
      </c>
      <c r="Q4" s="8">
        <v>3149.5766241497818</v>
      </c>
      <c r="R4" s="8">
        <v>3120.9994564684353</v>
      </c>
      <c r="S4" s="8">
        <v>3092.4222887870887</v>
      </c>
      <c r="T4" s="8">
        <v>3063.8451211057427</v>
      </c>
      <c r="U4" s="8">
        <v>3035.2679534243962</v>
      </c>
      <c r="V4" s="8">
        <v>3006.8150342981858</v>
      </c>
      <c r="W4" s="8">
        <v>2978.2378666168397</v>
      </c>
      <c r="X4" s="8">
        <v>2949.6606989354932</v>
      </c>
      <c r="Y4" s="8">
        <v>2921.0835312541467</v>
      </c>
      <c r="Z4" s="8">
        <v>2892.5063635728002</v>
      </c>
      <c r="AA4" s="8">
        <v>2863.9291958914541</v>
      </c>
      <c r="AB4" s="8">
        <v>2835.3520282101076</v>
      </c>
      <c r="AC4" s="8">
        <v>2806.8991090838972</v>
      </c>
      <c r="AD4" s="8">
        <v>2778.3219414025511</v>
      </c>
      <c r="AE4" s="8">
        <v>2749.7447737212046</v>
      </c>
    </row>
    <row r="5" spans="1:31" ht="15.75" thickTop="1" x14ac:dyDescent="0.25">
      <c r="A5" t="s">
        <v>21</v>
      </c>
      <c r="B5">
        <v>6215.4097221377042</v>
      </c>
      <c r="C5">
        <v>6215.4097221377042</v>
      </c>
      <c r="D5">
        <v>6203.1091151792125</v>
      </c>
      <c r="E5">
        <v>6190.9327567758555</v>
      </c>
      <c r="F5">
        <v>6178.6321498173638</v>
      </c>
      <c r="G5">
        <v>6166.4557914140069</v>
      </c>
      <c r="H5">
        <v>6154.1551844555152</v>
      </c>
      <c r="I5">
        <v>6141.9788260521582</v>
      </c>
      <c r="J5">
        <v>6129.6782190936647</v>
      </c>
      <c r="K5">
        <v>6117.377612135173</v>
      </c>
      <c r="L5">
        <v>6105.201253731816</v>
      </c>
      <c r="M5">
        <v>6092.9006467733243</v>
      </c>
      <c r="N5">
        <v>6080.7242883699673</v>
      </c>
      <c r="O5">
        <v>6068.4236814114756</v>
      </c>
      <c r="P5">
        <v>6056.2473230081187</v>
      </c>
      <c r="Q5">
        <v>6043.946716049626</v>
      </c>
      <c r="R5">
        <v>6031.77035764627</v>
      </c>
      <c r="S5">
        <v>6019.4697506877774</v>
      </c>
      <c r="T5">
        <v>6007.2933922844204</v>
      </c>
      <c r="U5">
        <v>5994.9927853259287</v>
      </c>
      <c r="V5">
        <v>5982.8164269225717</v>
      </c>
      <c r="W5">
        <v>5970.51581996408</v>
      </c>
      <c r="X5">
        <v>5958.3394615607231</v>
      </c>
      <c r="Y5">
        <v>5946.0388546022314</v>
      </c>
      <c r="Z5">
        <v>5933.8624961988744</v>
      </c>
      <c r="AA5">
        <v>5921.5618892403818</v>
      </c>
      <c r="AB5">
        <v>5909.3855308370257</v>
      </c>
      <c r="AC5">
        <v>5897.0849238785331</v>
      </c>
      <c r="AD5">
        <v>5884.9085654751761</v>
      </c>
      <c r="AE5">
        <v>5872.6079585166844</v>
      </c>
    </row>
    <row r="6" spans="1:31" x14ac:dyDescent="0.25">
      <c r="A6" t="s">
        <v>22</v>
      </c>
      <c r="B6">
        <v>6215.4097221377042</v>
      </c>
      <c r="C6">
        <v>6215.4097221377042</v>
      </c>
      <c r="D6">
        <v>6203.1091151792125</v>
      </c>
      <c r="E6">
        <v>6190.9327567758555</v>
      </c>
      <c r="F6">
        <v>6178.6321498173638</v>
      </c>
      <c r="G6">
        <v>6166.4557914140069</v>
      </c>
      <c r="H6">
        <v>6154.1551844555152</v>
      </c>
      <c r="I6">
        <v>6141.9788260521582</v>
      </c>
      <c r="J6">
        <v>6129.6782190936647</v>
      </c>
      <c r="K6">
        <v>6117.377612135173</v>
      </c>
      <c r="L6">
        <v>6105.201253731816</v>
      </c>
      <c r="M6">
        <v>6092.9006467733243</v>
      </c>
      <c r="N6">
        <v>6080.7242883699673</v>
      </c>
      <c r="O6">
        <v>6068.4236814114756</v>
      </c>
      <c r="P6">
        <v>6056.2473230081187</v>
      </c>
      <c r="Q6">
        <v>6043.946716049626</v>
      </c>
      <c r="R6">
        <v>6031.77035764627</v>
      </c>
      <c r="S6">
        <v>6019.4697506877774</v>
      </c>
      <c r="T6">
        <v>6007.2933922844204</v>
      </c>
      <c r="U6">
        <v>5994.9927853259287</v>
      </c>
      <c r="V6">
        <v>5982.8164269225717</v>
      </c>
      <c r="W6">
        <v>5970.51581996408</v>
      </c>
      <c r="X6">
        <v>5958.3394615607231</v>
      </c>
      <c r="Y6">
        <v>5946.0388546022314</v>
      </c>
      <c r="Z6">
        <v>5933.8624961988744</v>
      </c>
      <c r="AA6">
        <v>5921.5618892403818</v>
      </c>
      <c r="AB6">
        <v>5909.3855308370257</v>
      </c>
      <c r="AC6">
        <v>5897.0849238785331</v>
      </c>
      <c r="AD6">
        <v>5884.9085654751761</v>
      </c>
      <c r="AE6">
        <v>5872.6079585166844</v>
      </c>
    </row>
    <row r="7" spans="1:31" x14ac:dyDescent="0.25">
      <c r="A7" t="s">
        <v>23</v>
      </c>
      <c r="B7">
        <v>6215.4097221377042</v>
      </c>
      <c r="C7">
        <v>6215.4097221377042</v>
      </c>
      <c r="D7">
        <v>6203.1091151792125</v>
      </c>
      <c r="E7">
        <v>6190.9327567758555</v>
      </c>
      <c r="F7">
        <v>6178.6321498173638</v>
      </c>
      <c r="G7">
        <v>6166.4557914140069</v>
      </c>
      <c r="H7">
        <v>6154.1551844555152</v>
      </c>
      <c r="I7">
        <v>6141.9788260521582</v>
      </c>
      <c r="J7">
        <v>6129.6782190936647</v>
      </c>
      <c r="K7">
        <v>6117.377612135173</v>
      </c>
      <c r="L7">
        <v>6105.201253731816</v>
      </c>
      <c r="M7">
        <v>6092.9006467733243</v>
      </c>
      <c r="N7">
        <v>6080.7242883699673</v>
      </c>
      <c r="O7">
        <v>6068.4236814114756</v>
      </c>
      <c r="P7">
        <v>6056.2473230081187</v>
      </c>
      <c r="Q7">
        <v>6043.946716049626</v>
      </c>
      <c r="R7">
        <v>6031.77035764627</v>
      </c>
      <c r="S7">
        <v>6019.4697506877774</v>
      </c>
      <c r="T7">
        <v>6007.2933922844204</v>
      </c>
      <c r="U7">
        <v>5994.9927853259287</v>
      </c>
      <c r="V7">
        <v>5982.8164269225717</v>
      </c>
      <c r="W7">
        <v>5970.51581996408</v>
      </c>
      <c r="X7">
        <v>5958.3394615607231</v>
      </c>
      <c r="Y7">
        <v>5946.0388546022314</v>
      </c>
      <c r="Z7">
        <v>5933.8624961988744</v>
      </c>
      <c r="AA7">
        <v>5921.5618892403818</v>
      </c>
      <c r="AB7">
        <v>5909.3855308370257</v>
      </c>
      <c r="AC7">
        <v>5897.0849238785331</v>
      </c>
      <c r="AD7">
        <v>5884.9085654751761</v>
      </c>
      <c r="AE7">
        <v>5872.6079585166844</v>
      </c>
    </row>
    <row r="8" spans="1:31" x14ac:dyDescent="0.25">
      <c r="A8" t="s">
        <v>17</v>
      </c>
    </row>
    <row r="9" spans="1:31" x14ac:dyDescent="0.25">
      <c r="A9" s="16" t="s">
        <v>18</v>
      </c>
      <c r="B9" s="18">
        <v>71.8</v>
      </c>
      <c r="C9" s="18">
        <v>71.8</v>
      </c>
      <c r="D9" s="18">
        <v>71.8</v>
      </c>
      <c r="E9" s="18">
        <v>71.8</v>
      </c>
      <c r="F9" s="18">
        <v>71</v>
      </c>
      <c r="G9" s="18">
        <v>70.2</v>
      </c>
      <c r="H9" s="18">
        <v>69.400000000000006</v>
      </c>
      <c r="I9" s="18">
        <v>68.599999999999994</v>
      </c>
      <c r="J9" s="18">
        <v>67.8</v>
      </c>
      <c r="K9" s="18">
        <v>67</v>
      </c>
      <c r="L9" s="18">
        <v>66.2</v>
      </c>
      <c r="M9" s="18">
        <v>65.3</v>
      </c>
      <c r="N9" s="18">
        <v>64.5</v>
      </c>
      <c r="O9" s="18">
        <v>64.5</v>
      </c>
      <c r="P9" s="18">
        <v>64.5</v>
      </c>
      <c r="Q9" s="18">
        <v>64.5</v>
      </c>
      <c r="R9" s="18">
        <v>64.5</v>
      </c>
      <c r="S9" s="18">
        <v>64.5</v>
      </c>
      <c r="T9" s="18">
        <v>64.5</v>
      </c>
      <c r="U9" s="18">
        <v>64.5</v>
      </c>
      <c r="V9" s="18">
        <v>64.5</v>
      </c>
      <c r="W9" s="18">
        <v>64.5</v>
      </c>
      <c r="X9" s="18">
        <v>64.5</v>
      </c>
      <c r="Y9" s="18">
        <v>64.5</v>
      </c>
      <c r="Z9" s="18">
        <v>64.5</v>
      </c>
      <c r="AA9" s="18">
        <v>64.5</v>
      </c>
      <c r="AB9" s="18">
        <v>64.5</v>
      </c>
      <c r="AC9" s="18">
        <v>64.5</v>
      </c>
      <c r="AD9" s="18">
        <v>64.5</v>
      </c>
      <c r="AE9" s="18">
        <v>64.5</v>
      </c>
    </row>
    <row r="10" spans="1:31" x14ac:dyDescent="0.25">
      <c r="A10" s="17" t="s">
        <v>19</v>
      </c>
      <c r="B10" s="18">
        <v>71.8</v>
      </c>
      <c r="C10" s="18">
        <v>71.8</v>
      </c>
      <c r="D10" s="18">
        <v>71.8</v>
      </c>
      <c r="E10" s="18">
        <v>71.8</v>
      </c>
      <c r="F10" s="18">
        <v>71.400000000000006</v>
      </c>
      <c r="G10" s="18">
        <v>71</v>
      </c>
      <c r="H10" s="18">
        <v>70.599999999999994</v>
      </c>
      <c r="I10" s="18">
        <v>70.2</v>
      </c>
      <c r="J10" s="18">
        <v>69.8</v>
      </c>
      <c r="K10" s="18">
        <v>69.400000000000006</v>
      </c>
      <c r="L10" s="18">
        <v>69</v>
      </c>
      <c r="M10" s="18">
        <v>68.599999999999994</v>
      </c>
      <c r="N10" s="18">
        <v>68.2</v>
      </c>
      <c r="O10" s="18">
        <v>68.2</v>
      </c>
      <c r="P10" s="18">
        <v>68.2</v>
      </c>
      <c r="Q10" s="18">
        <v>68.2</v>
      </c>
      <c r="R10" s="18">
        <v>68.2</v>
      </c>
      <c r="S10" s="18">
        <v>68.2</v>
      </c>
      <c r="T10" s="18">
        <v>68.2</v>
      </c>
      <c r="U10" s="18">
        <v>68.2</v>
      </c>
      <c r="V10" s="18">
        <v>68.2</v>
      </c>
      <c r="W10" s="18">
        <v>68.2</v>
      </c>
      <c r="X10" s="18">
        <v>68.2</v>
      </c>
      <c r="Y10" s="18">
        <v>68.2</v>
      </c>
      <c r="Z10" s="18">
        <v>68.2</v>
      </c>
      <c r="AA10" s="18">
        <v>68.2</v>
      </c>
      <c r="AB10" s="18">
        <v>68.2</v>
      </c>
      <c r="AC10" s="18">
        <v>68.2</v>
      </c>
      <c r="AD10" s="18">
        <v>68.2</v>
      </c>
      <c r="AE10" s="18">
        <v>68.2</v>
      </c>
    </row>
    <row r="11" spans="1:31" x14ac:dyDescent="0.25">
      <c r="A11" s="17" t="s">
        <v>20</v>
      </c>
      <c r="B11" s="18">
        <v>71.8</v>
      </c>
      <c r="C11" s="18">
        <v>71.8</v>
      </c>
      <c r="D11" s="18">
        <v>71.8</v>
      </c>
      <c r="E11" s="18">
        <v>71.8</v>
      </c>
      <c r="F11" s="18">
        <v>71.8</v>
      </c>
      <c r="G11" s="18">
        <v>71.8</v>
      </c>
      <c r="H11" s="18">
        <v>71.8</v>
      </c>
      <c r="I11" s="18">
        <v>71.8</v>
      </c>
      <c r="J11" s="18">
        <v>71.8</v>
      </c>
      <c r="K11" s="18">
        <v>71.8</v>
      </c>
      <c r="L11" s="18">
        <v>71.8</v>
      </c>
      <c r="M11" s="18">
        <v>71.8</v>
      </c>
      <c r="N11" s="18">
        <v>71.8</v>
      </c>
      <c r="O11" s="18">
        <v>71.8</v>
      </c>
      <c r="P11" s="18">
        <v>71.8</v>
      </c>
      <c r="Q11" s="18">
        <v>71.8</v>
      </c>
      <c r="R11" s="18">
        <v>71.8</v>
      </c>
      <c r="S11" s="18">
        <v>71.8</v>
      </c>
      <c r="T11" s="18">
        <v>71.8</v>
      </c>
      <c r="U11" s="18">
        <v>71.8</v>
      </c>
      <c r="V11" s="18">
        <v>71.8</v>
      </c>
      <c r="W11" s="18">
        <v>71.8</v>
      </c>
      <c r="X11" s="18">
        <v>71.8</v>
      </c>
      <c r="Y11" s="18">
        <v>71.8</v>
      </c>
      <c r="Z11" s="18">
        <v>71.8</v>
      </c>
      <c r="AA11" s="18">
        <v>71.8</v>
      </c>
      <c r="AB11" s="18">
        <v>71.8</v>
      </c>
      <c r="AC11" s="18">
        <v>71.8</v>
      </c>
      <c r="AD11" s="18">
        <v>71.8</v>
      </c>
      <c r="AE11" s="18">
        <v>71.8</v>
      </c>
    </row>
    <row r="12" spans="1:31" x14ac:dyDescent="0.25">
      <c r="A12" s="17" t="s">
        <v>21</v>
      </c>
      <c r="B12" s="18">
        <v>142.9</v>
      </c>
      <c r="C12" s="18">
        <v>142.9</v>
      </c>
      <c r="D12" s="18">
        <v>142.9</v>
      </c>
      <c r="E12" s="18">
        <v>142.9</v>
      </c>
      <c r="F12" s="18">
        <v>142.9</v>
      </c>
      <c r="G12" s="18">
        <v>142.9</v>
      </c>
      <c r="H12" s="18">
        <v>142.9</v>
      </c>
      <c r="I12" s="18">
        <v>142.9</v>
      </c>
      <c r="J12" s="18">
        <v>142.9</v>
      </c>
      <c r="K12" s="18">
        <v>142.9</v>
      </c>
      <c r="L12" s="18">
        <v>142.9</v>
      </c>
      <c r="M12" s="18">
        <v>142.9</v>
      </c>
      <c r="N12" s="18">
        <v>142.9</v>
      </c>
      <c r="O12" s="18">
        <v>142.9</v>
      </c>
      <c r="P12" s="18">
        <v>142.9</v>
      </c>
      <c r="Q12" s="18">
        <v>142.9</v>
      </c>
      <c r="R12" s="18">
        <v>142.9</v>
      </c>
      <c r="S12" s="18">
        <v>142.9</v>
      </c>
      <c r="T12" s="18">
        <v>142.9</v>
      </c>
      <c r="U12" s="18">
        <v>142.9</v>
      </c>
      <c r="V12" s="18">
        <v>142.9</v>
      </c>
      <c r="W12" s="18">
        <v>142.9</v>
      </c>
      <c r="X12" s="18">
        <v>142.9</v>
      </c>
      <c r="Y12" s="18">
        <v>142.9</v>
      </c>
      <c r="Z12" s="18">
        <v>142.9</v>
      </c>
      <c r="AA12" s="18">
        <v>142.9</v>
      </c>
      <c r="AB12" s="18">
        <v>142.9</v>
      </c>
      <c r="AC12" s="18">
        <v>142.9</v>
      </c>
      <c r="AD12" s="18">
        <v>142.9</v>
      </c>
      <c r="AE12" s="18">
        <v>142.9</v>
      </c>
    </row>
    <row r="13" spans="1:31" x14ac:dyDescent="0.25">
      <c r="A13" s="17" t="s">
        <v>22</v>
      </c>
      <c r="B13" s="18">
        <v>142.9</v>
      </c>
      <c r="C13" s="18">
        <v>142.9</v>
      </c>
      <c r="D13" s="18">
        <v>142.9</v>
      </c>
      <c r="E13" s="18">
        <v>142.9</v>
      </c>
      <c r="F13" s="18">
        <v>142.9</v>
      </c>
      <c r="G13" s="18">
        <v>142.9</v>
      </c>
      <c r="H13" s="18">
        <v>142.9</v>
      </c>
      <c r="I13" s="18">
        <v>142.9</v>
      </c>
      <c r="J13" s="18">
        <v>142.9</v>
      </c>
      <c r="K13" s="18">
        <v>142.9</v>
      </c>
      <c r="L13" s="18">
        <v>142.9</v>
      </c>
      <c r="M13" s="18">
        <v>142.9</v>
      </c>
      <c r="N13" s="18">
        <v>142.9</v>
      </c>
      <c r="O13" s="18">
        <v>142.9</v>
      </c>
      <c r="P13" s="18">
        <v>142.9</v>
      </c>
      <c r="Q13" s="18">
        <v>142.9</v>
      </c>
      <c r="R13" s="18">
        <v>142.9</v>
      </c>
      <c r="S13" s="18">
        <v>142.9</v>
      </c>
      <c r="T13" s="18">
        <v>142.9</v>
      </c>
      <c r="U13" s="18">
        <v>142.9</v>
      </c>
      <c r="V13" s="18">
        <v>142.9</v>
      </c>
      <c r="W13" s="18">
        <v>142.9</v>
      </c>
      <c r="X13" s="18">
        <v>142.9</v>
      </c>
      <c r="Y13" s="18">
        <v>142.9</v>
      </c>
      <c r="Z13" s="18">
        <v>142.9</v>
      </c>
      <c r="AA13" s="18">
        <v>142.9</v>
      </c>
      <c r="AB13" s="18">
        <v>142.9</v>
      </c>
      <c r="AC13" s="18">
        <v>142.9</v>
      </c>
      <c r="AD13" s="18">
        <v>142.9</v>
      </c>
      <c r="AE13" s="18">
        <v>142.9</v>
      </c>
    </row>
    <row r="14" spans="1:31" x14ac:dyDescent="0.25">
      <c r="A14" s="17" t="s">
        <v>23</v>
      </c>
      <c r="B14" s="18">
        <v>142.9</v>
      </c>
      <c r="C14" s="18">
        <v>142.9</v>
      </c>
      <c r="D14" s="18">
        <v>142.9</v>
      </c>
      <c r="E14" s="18">
        <v>142.9</v>
      </c>
      <c r="F14" s="18">
        <v>142.9</v>
      </c>
      <c r="G14" s="18">
        <v>142.9</v>
      </c>
      <c r="H14" s="18">
        <v>142.9</v>
      </c>
      <c r="I14" s="18">
        <v>142.9</v>
      </c>
      <c r="J14" s="18">
        <v>142.9</v>
      </c>
      <c r="K14" s="18">
        <v>142.9</v>
      </c>
      <c r="L14" s="18">
        <v>142.9</v>
      </c>
      <c r="M14" s="18">
        <v>142.9</v>
      </c>
      <c r="N14" s="18">
        <v>142.9</v>
      </c>
      <c r="O14" s="18">
        <v>142.9</v>
      </c>
      <c r="P14" s="18">
        <v>142.9</v>
      </c>
      <c r="Q14" s="18">
        <v>142.9</v>
      </c>
      <c r="R14" s="18">
        <v>142.9</v>
      </c>
      <c r="S14" s="18">
        <v>142.9</v>
      </c>
      <c r="T14" s="18">
        <v>142.9</v>
      </c>
      <c r="U14" s="18">
        <v>142.9</v>
      </c>
      <c r="V14" s="18">
        <v>142.9</v>
      </c>
      <c r="W14" s="18">
        <v>142.9</v>
      </c>
      <c r="X14" s="18">
        <v>142.9</v>
      </c>
      <c r="Y14" s="18">
        <v>142.9</v>
      </c>
      <c r="Z14" s="18">
        <v>142.9</v>
      </c>
      <c r="AA14" s="18">
        <v>142.9</v>
      </c>
      <c r="AB14" s="18">
        <v>142.9</v>
      </c>
      <c r="AC14" s="18">
        <v>142.9</v>
      </c>
      <c r="AD14" s="18">
        <v>142.9</v>
      </c>
      <c r="AE14" s="18">
        <v>142.9</v>
      </c>
    </row>
    <row r="15" spans="1:31" x14ac:dyDescent="0.25">
      <c r="A15" s="17" t="s">
        <v>29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</row>
    <row r="16" spans="1:31" x14ac:dyDescent="0.25">
      <c r="A16" s="17" t="s">
        <v>30</v>
      </c>
      <c r="B16" s="18">
        <v>7.86</v>
      </c>
      <c r="C16" s="18">
        <v>7.86</v>
      </c>
      <c r="D16" s="18">
        <v>7.86</v>
      </c>
      <c r="E16" s="18">
        <v>7.86</v>
      </c>
      <c r="F16" s="18">
        <v>7.86</v>
      </c>
      <c r="G16" s="18">
        <v>7.86</v>
      </c>
      <c r="H16" s="18">
        <v>7.86</v>
      </c>
      <c r="I16" s="18">
        <v>7.86</v>
      </c>
      <c r="J16" s="18">
        <v>7.86</v>
      </c>
      <c r="K16" s="18">
        <v>7.86</v>
      </c>
      <c r="L16" s="18">
        <v>7.86</v>
      </c>
      <c r="M16" s="18">
        <v>7.86</v>
      </c>
      <c r="N16" s="18">
        <v>7.86</v>
      </c>
      <c r="O16" s="18">
        <v>7.86</v>
      </c>
      <c r="P16" s="18">
        <v>7.86</v>
      </c>
      <c r="Q16" s="18">
        <v>7.86</v>
      </c>
      <c r="R16" s="18">
        <v>7.86</v>
      </c>
      <c r="S16" s="18">
        <v>7.86</v>
      </c>
      <c r="T16" s="18">
        <v>7.86</v>
      </c>
      <c r="U16" s="18">
        <v>7.86</v>
      </c>
      <c r="V16" s="18">
        <v>7.86</v>
      </c>
      <c r="W16" s="18">
        <v>7.86</v>
      </c>
      <c r="X16" s="18">
        <v>7.86</v>
      </c>
      <c r="Y16" s="18">
        <v>7.86</v>
      </c>
      <c r="Z16" s="18">
        <v>7.86</v>
      </c>
      <c r="AA16" s="18">
        <v>7.86</v>
      </c>
      <c r="AB16" s="18">
        <v>7.86</v>
      </c>
      <c r="AC16" s="18">
        <v>7.86</v>
      </c>
      <c r="AD16" s="18">
        <v>7.86</v>
      </c>
      <c r="AE16" s="18">
        <v>7.86</v>
      </c>
    </row>
    <row r="17" spans="1:33" x14ac:dyDescent="0.25">
      <c r="A17" s="17" t="s">
        <v>21</v>
      </c>
      <c r="B17" s="18">
        <v>14.36</v>
      </c>
      <c r="C17" s="18">
        <v>14.36</v>
      </c>
      <c r="D17" s="18">
        <v>14.36</v>
      </c>
      <c r="E17" s="18">
        <v>14.36</v>
      </c>
      <c r="F17" s="18">
        <v>14.36</v>
      </c>
      <c r="G17" s="18">
        <v>14.36</v>
      </c>
      <c r="H17" s="18">
        <v>14.36</v>
      </c>
      <c r="I17" s="18">
        <v>14.36</v>
      </c>
      <c r="J17" s="18">
        <v>14.36</v>
      </c>
      <c r="K17" s="18">
        <v>14.36</v>
      </c>
      <c r="L17" s="18">
        <v>14.36</v>
      </c>
      <c r="M17" s="18">
        <v>14.36</v>
      </c>
      <c r="N17" s="18">
        <v>14.36</v>
      </c>
      <c r="O17" s="18">
        <v>14.36</v>
      </c>
      <c r="P17" s="18">
        <v>14.36</v>
      </c>
      <c r="Q17" s="18">
        <v>14.36</v>
      </c>
      <c r="R17" s="18">
        <v>14.36</v>
      </c>
      <c r="S17" s="18">
        <v>14.36</v>
      </c>
      <c r="T17" s="18">
        <v>14.36</v>
      </c>
      <c r="U17" s="18">
        <v>14.36</v>
      </c>
      <c r="V17" s="18">
        <v>14.36</v>
      </c>
      <c r="W17" s="18">
        <v>14.36</v>
      </c>
      <c r="X17" s="18">
        <v>14.36</v>
      </c>
      <c r="Y17" s="18">
        <v>14.36</v>
      </c>
      <c r="Z17" s="18">
        <v>14.36</v>
      </c>
      <c r="AA17" s="18">
        <v>14.36</v>
      </c>
      <c r="AB17" s="18">
        <v>14.36</v>
      </c>
      <c r="AC17" s="18">
        <v>14.36</v>
      </c>
      <c r="AD17" s="18">
        <v>14.36</v>
      </c>
      <c r="AE17" s="18">
        <v>14.36</v>
      </c>
    </row>
    <row r="18" spans="1:33" x14ac:dyDescent="0.25">
      <c r="A18" s="17"/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</row>
    <row r="19" spans="1:33" x14ac:dyDescent="0.25">
      <c r="A19" s="15"/>
      <c r="B19" s="16" t="s">
        <v>18</v>
      </c>
      <c r="C19" s="17" t="s">
        <v>19</v>
      </c>
      <c r="D19" s="17" t="s">
        <v>20</v>
      </c>
      <c r="E19" t="s">
        <v>21</v>
      </c>
      <c r="H19" t="s">
        <v>36</v>
      </c>
      <c r="I19">
        <f>4046/6.5</f>
        <v>622.46153846153845</v>
      </c>
      <c r="J19" s="28">
        <f>I19*P20/M20</f>
        <v>1089.9995099240382</v>
      </c>
    </row>
    <row r="20" spans="1:33" ht="15.75" thickBot="1" x14ac:dyDescent="0.3">
      <c r="A20" s="2">
        <v>2020</v>
      </c>
      <c r="B20" s="4">
        <f t="shared" ref="B20:B50" si="0">$I$19*L20/L$20</f>
        <v>622.46153846153845</v>
      </c>
      <c r="C20" s="4">
        <f t="shared" ref="C20:C50" si="1">$I$19*M20/M$20</f>
        <v>622.46153846153845</v>
      </c>
      <c r="D20" s="4">
        <f t="shared" ref="D20:D50" si="2">$I$19*N20/N$20</f>
        <v>622.46153846153845</v>
      </c>
      <c r="E20" s="4">
        <f>$J$19*O20/O$20</f>
        <v>1089.9995099240382</v>
      </c>
      <c r="F20" s="4">
        <f t="shared" ref="F20:G20" si="3">$J$19*P20/P$20</f>
        <v>1089.9995099240382</v>
      </c>
      <c r="G20" s="4">
        <f t="shared" si="3"/>
        <v>1089.9995099240382</v>
      </c>
      <c r="L20" s="8">
        <v>3549.4084745783584</v>
      </c>
      <c r="M20" s="6">
        <v>3549.4084745783584</v>
      </c>
      <c r="N20" s="4">
        <v>3549.4084745783584</v>
      </c>
      <c r="O20">
        <v>6215.4097221377042</v>
      </c>
      <c r="P20">
        <v>6215.4097221377042</v>
      </c>
      <c r="Q20">
        <v>6215.4097221377042</v>
      </c>
      <c r="S20" s="8"/>
    </row>
    <row r="21" spans="1:33" ht="16.5" thickTop="1" thickBot="1" x14ac:dyDescent="0.3">
      <c r="A21" s="2">
        <v>2021</v>
      </c>
      <c r="B21" s="4">
        <f t="shared" si="0"/>
        <v>622.46153846153845</v>
      </c>
      <c r="C21" s="4">
        <f t="shared" si="1"/>
        <v>622.46153846153845</v>
      </c>
      <c r="D21" s="4">
        <f t="shared" si="2"/>
        <v>622.46153846153845</v>
      </c>
      <c r="E21" s="4">
        <f t="shared" ref="E21:E50" si="4">$J$19*O21/O$20</f>
        <v>1089.9995099240382</v>
      </c>
      <c r="F21" s="4">
        <f t="shared" ref="F21:F50" si="5">$J$19*P21/P$20</f>
        <v>1089.9995099240382</v>
      </c>
      <c r="G21" s="4">
        <f t="shared" ref="G21:G50" si="6">$J$19*Q21/Q$20</f>
        <v>1089.9995099240382</v>
      </c>
      <c r="L21" s="8">
        <v>3549.4084745783584</v>
      </c>
      <c r="M21" s="6">
        <v>3549.4084745783584</v>
      </c>
      <c r="N21" s="4">
        <v>3549.4084745783584</v>
      </c>
      <c r="O21">
        <v>6215.4097221377042</v>
      </c>
      <c r="P21">
        <v>6215.4097221377042</v>
      </c>
      <c r="Q21">
        <v>6215.4097221377042</v>
      </c>
      <c r="S21" s="8"/>
    </row>
    <row r="22" spans="1:33" ht="16.5" thickTop="1" thickBot="1" x14ac:dyDescent="0.3">
      <c r="A22" s="2">
        <v>2022</v>
      </c>
      <c r="B22" s="4">
        <f t="shared" si="0"/>
        <v>622.46153846153845</v>
      </c>
      <c r="C22" s="4">
        <f t="shared" si="1"/>
        <v>622.46153846153845</v>
      </c>
      <c r="D22" s="4">
        <f t="shared" si="2"/>
        <v>622.46153846153845</v>
      </c>
      <c r="E22" s="4">
        <f t="shared" si="4"/>
        <v>1089.9995099240382</v>
      </c>
      <c r="F22" s="4">
        <f t="shared" si="5"/>
        <v>1089.9995099240382</v>
      </c>
      <c r="G22" s="4">
        <f t="shared" si="6"/>
        <v>1089.9995099240382</v>
      </c>
      <c r="L22" s="8">
        <v>3549.4084745783584</v>
      </c>
      <c r="M22" s="6">
        <v>3549.4084745783584</v>
      </c>
      <c r="N22" s="4">
        <v>3549.4084745783584</v>
      </c>
      <c r="O22">
        <v>6215.4097221377042</v>
      </c>
      <c r="P22">
        <v>6215.4097221377042</v>
      </c>
      <c r="Q22">
        <v>6215.4097221377042</v>
      </c>
      <c r="S22" s="8"/>
    </row>
    <row r="23" spans="1:33" ht="16.5" thickTop="1" thickBot="1" x14ac:dyDescent="0.3">
      <c r="A23" s="2">
        <v>2023</v>
      </c>
      <c r="B23" s="4">
        <f t="shared" si="0"/>
        <v>617.4499462801349</v>
      </c>
      <c r="C23" s="4">
        <f t="shared" si="1"/>
        <v>619.08416112189707</v>
      </c>
      <c r="D23" s="4">
        <f t="shared" si="2"/>
        <v>620.69658643243554</v>
      </c>
      <c r="E23" s="4">
        <f t="shared" si="4"/>
        <v>1087.8423463329125</v>
      </c>
      <c r="F23" s="4">
        <f t="shared" si="5"/>
        <v>1087.8423463329125</v>
      </c>
      <c r="G23" s="4">
        <f t="shared" si="6"/>
        <v>1087.8423463329125</v>
      </c>
      <c r="L23" s="8">
        <v>3520.8313068970119</v>
      </c>
      <c r="M23" s="6">
        <v>3530.1499485322338</v>
      </c>
      <c r="N23" s="4">
        <v>3539.3443416123191</v>
      </c>
      <c r="O23">
        <v>6203.1091151792125</v>
      </c>
      <c r="P23">
        <v>6203.1091151792125</v>
      </c>
      <c r="Q23">
        <v>6203.1091151792125</v>
      </c>
      <c r="S23" s="8"/>
    </row>
    <row r="24" spans="1:33" ht="16.5" thickTop="1" thickBot="1" x14ac:dyDescent="0.3">
      <c r="A24" s="2">
        <v>2024</v>
      </c>
      <c r="B24" s="4">
        <f t="shared" si="0"/>
        <v>612.43835409873145</v>
      </c>
      <c r="C24" s="4">
        <f t="shared" si="1"/>
        <v>615.68499425103198</v>
      </c>
      <c r="D24" s="4">
        <f t="shared" si="2"/>
        <v>618.93163440333262</v>
      </c>
      <c r="E24" s="4">
        <f t="shared" si="4"/>
        <v>1085.70697227301</v>
      </c>
      <c r="F24" s="4">
        <f t="shared" si="5"/>
        <v>1085.70697227301</v>
      </c>
      <c r="G24" s="4">
        <f t="shared" si="6"/>
        <v>1085.70697227301</v>
      </c>
      <c r="L24" s="8">
        <v>3492.2541392156654</v>
      </c>
      <c r="M24" s="6">
        <v>3510.7671739309726</v>
      </c>
      <c r="N24" s="4">
        <v>3529.2802086462798</v>
      </c>
      <c r="O24">
        <v>6190.9327567758555</v>
      </c>
      <c r="P24">
        <v>6190.9327567758555</v>
      </c>
      <c r="Q24">
        <v>6190.9327567758555</v>
      </c>
      <c r="S24" s="8"/>
    </row>
    <row r="25" spans="1:33" ht="16.5" thickTop="1" thickBot="1" x14ac:dyDescent="0.3">
      <c r="A25" s="2">
        <v>2025</v>
      </c>
      <c r="B25" s="4">
        <f t="shared" si="0"/>
        <v>607.42676191732801</v>
      </c>
      <c r="C25" s="4">
        <f t="shared" si="1"/>
        <v>612.28582738016701</v>
      </c>
      <c r="D25" s="4">
        <f t="shared" si="2"/>
        <v>617.14489284300612</v>
      </c>
      <c r="E25" s="4">
        <f t="shared" si="4"/>
        <v>1083.5498086818843</v>
      </c>
      <c r="F25" s="4">
        <f t="shared" si="5"/>
        <v>1083.5498086818843</v>
      </c>
      <c r="G25" s="4">
        <f t="shared" si="6"/>
        <v>1083.5498086818843</v>
      </c>
      <c r="L25" s="8">
        <v>3463.6769715343194</v>
      </c>
      <c r="M25" s="6">
        <v>3491.3843993297119</v>
      </c>
      <c r="N25" s="4">
        <v>3519.0918271251044</v>
      </c>
      <c r="O25">
        <v>6178.6321498173638</v>
      </c>
      <c r="P25">
        <v>6178.6321498173638</v>
      </c>
      <c r="Q25">
        <v>6178.6321498173638</v>
      </c>
      <c r="S25" s="8"/>
    </row>
    <row r="26" spans="1:33" ht="16.5" thickTop="1" thickBot="1" x14ac:dyDescent="0.3">
      <c r="A26" s="2">
        <v>2026</v>
      </c>
      <c r="B26" s="4">
        <f t="shared" si="0"/>
        <v>602.43695926714804</v>
      </c>
      <c r="C26" s="4">
        <f t="shared" si="1"/>
        <v>608.90845004052551</v>
      </c>
      <c r="D26" s="4">
        <f t="shared" si="2"/>
        <v>615.37994081390309</v>
      </c>
      <c r="E26" s="4">
        <f t="shared" si="4"/>
        <v>1081.4144346219819</v>
      </c>
      <c r="F26" s="4">
        <f t="shared" si="5"/>
        <v>1081.4144346219819</v>
      </c>
      <c r="G26" s="4">
        <f t="shared" si="6"/>
        <v>1081.4144346219819</v>
      </c>
      <c r="L26" s="8">
        <v>3435.2240524081094</v>
      </c>
      <c r="M26" s="6">
        <v>3472.1258732835872</v>
      </c>
      <c r="N26" s="4">
        <v>3509.0276941590646</v>
      </c>
      <c r="O26">
        <v>6166.4557914140069</v>
      </c>
      <c r="P26">
        <v>6166.4557914140069</v>
      </c>
      <c r="Q26">
        <v>6166.4557914140069</v>
      </c>
      <c r="S26" s="8"/>
    </row>
    <row r="27" spans="1:33" ht="16.5" thickTop="1" thickBot="1" x14ac:dyDescent="0.3">
      <c r="A27" s="2">
        <v>2027</v>
      </c>
      <c r="B27" s="4">
        <f t="shared" si="0"/>
        <v>597.42536708574437</v>
      </c>
      <c r="C27" s="4">
        <f t="shared" si="1"/>
        <v>605.50928316966053</v>
      </c>
      <c r="D27" s="4">
        <f t="shared" si="2"/>
        <v>613.61498878480006</v>
      </c>
      <c r="E27" s="4">
        <f t="shared" si="4"/>
        <v>1079.2572710308561</v>
      </c>
      <c r="F27" s="4">
        <f t="shared" si="5"/>
        <v>1079.2572710308561</v>
      </c>
      <c r="G27" s="4">
        <f t="shared" si="6"/>
        <v>1079.2572710308561</v>
      </c>
      <c r="L27" s="8">
        <v>3406.6468847267629</v>
      </c>
      <c r="M27" s="6">
        <v>3452.743098682326</v>
      </c>
      <c r="N27" s="4">
        <v>3498.9635611930253</v>
      </c>
      <c r="O27">
        <v>6154.1551844555152</v>
      </c>
      <c r="P27">
        <v>6154.1551844555152</v>
      </c>
      <c r="Q27">
        <v>6154.1551844555152</v>
      </c>
      <c r="S27" s="8"/>
    </row>
    <row r="28" spans="1:33" ht="16.5" thickTop="1" thickBot="1" x14ac:dyDescent="0.3">
      <c r="A28" s="2">
        <v>2028</v>
      </c>
      <c r="B28" s="4">
        <f t="shared" si="0"/>
        <v>592.41377490434093</v>
      </c>
      <c r="C28" s="4">
        <f t="shared" si="1"/>
        <v>602.13190583001915</v>
      </c>
      <c r="D28" s="4">
        <f t="shared" si="2"/>
        <v>611.85003675569715</v>
      </c>
      <c r="E28" s="4">
        <f t="shared" si="4"/>
        <v>1077.1218969709537</v>
      </c>
      <c r="F28" s="4">
        <f t="shared" si="5"/>
        <v>1077.1218969709537</v>
      </c>
      <c r="G28" s="4">
        <f t="shared" si="6"/>
        <v>1077.1218969709537</v>
      </c>
      <c r="L28" s="8">
        <v>3378.0697170454168</v>
      </c>
      <c r="M28" s="6">
        <v>3433.4845726362014</v>
      </c>
      <c r="N28" s="4">
        <v>3488.8994282269859</v>
      </c>
      <c r="O28">
        <v>6141.9788260521582</v>
      </c>
      <c r="P28">
        <v>6141.9788260521582</v>
      </c>
      <c r="Q28">
        <v>6141.9788260521582</v>
      </c>
      <c r="S28" s="8"/>
    </row>
    <row r="29" spans="1:33" ht="16.5" thickTop="1" thickBot="1" x14ac:dyDescent="0.3">
      <c r="A29" s="2">
        <v>2029</v>
      </c>
      <c r="B29" s="4">
        <f t="shared" si="0"/>
        <v>587.40218272293748</v>
      </c>
      <c r="C29" s="4">
        <f t="shared" si="1"/>
        <v>598.73273895915406</v>
      </c>
      <c r="D29" s="4">
        <f t="shared" si="2"/>
        <v>610.08508472659423</v>
      </c>
      <c r="E29" s="4">
        <f t="shared" si="4"/>
        <v>1074.9647333798275</v>
      </c>
      <c r="F29" s="4">
        <f t="shared" si="5"/>
        <v>1074.9647333798275</v>
      </c>
      <c r="G29" s="4">
        <f t="shared" si="6"/>
        <v>1074.9647333798275</v>
      </c>
      <c r="L29" s="8">
        <v>3349.4925493640703</v>
      </c>
      <c r="M29" s="6">
        <v>3414.1017980349402</v>
      </c>
      <c r="N29" s="4">
        <v>3478.8352952609466</v>
      </c>
      <c r="O29">
        <v>6129.6782190936647</v>
      </c>
      <c r="P29">
        <v>6129.6782190936647</v>
      </c>
      <c r="Q29">
        <v>6129.6782190936647</v>
      </c>
      <c r="S29" s="8"/>
    </row>
    <row r="30" spans="1:33" ht="16.5" thickTop="1" thickBot="1" x14ac:dyDescent="0.3">
      <c r="A30" s="2">
        <v>2030</v>
      </c>
      <c r="B30" s="4">
        <f t="shared" si="0"/>
        <v>582.39059054153392</v>
      </c>
      <c r="C30" s="4">
        <f t="shared" si="1"/>
        <v>595.35536161951256</v>
      </c>
      <c r="D30" s="4">
        <f t="shared" si="2"/>
        <v>608.29834316626761</v>
      </c>
      <c r="E30" s="4">
        <f t="shared" si="4"/>
        <v>1072.8075697887018</v>
      </c>
      <c r="F30" s="4">
        <f t="shared" si="5"/>
        <v>1072.8075697887018</v>
      </c>
      <c r="G30" s="4">
        <f t="shared" si="6"/>
        <v>1072.8075697887018</v>
      </c>
      <c r="L30" s="8">
        <v>3320.9153816827238</v>
      </c>
      <c r="M30" s="6">
        <v>3394.8432719888156</v>
      </c>
      <c r="N30" s="4">
        <v>3468.6469137397708</v>
      </c>
      <c r="O30">
        <v>6117.377612135173</v>
      </c>
      <c r="P30">
        <v>6117.377612135173</v>
      </c>
      <c r="Q30">
        <v>6117.377612135173</v>
      </c>
      <c r="S30" s="8"/>
    </row>
    <row r="31" spans="1:33" ht="16.5" thickTop="1" thickBot="1" x14ac:dyDescent="0.3">
      <c r="A31" s="2">
        <v>2031</v>
      </c>
      <c r="B31" s="4">
        <f t="shared" si="0"/>
        <v>577.37899836013048</v>
      </c>
      <c r="C31" s="4">
        <f t="shared" si="1"/>
        <v>591.95619474864759</v>
      </c>
      <c r="D31" s="4">
        <f t="shared" si="2"/>
        <v>606.5333911371647</v>
      </c>
      <c r="E31" s="4">
        <f t="shared" si="4"/>
        <v>1070.6721957287994</v>
      </c>
      <c r="F31" s="4">
        <f t="shared" si="5"/>
        <v>1070.6721957287994</v>
      </c>
      <c r="G31" s="4">
        <f t="shared" si="6"/>
        <v>1070.6721957287994</v>
      </c>
      <c r="L31" s="8">
        <v>3292.3382140013773</v>
      </c>
      <c r="M31" s="6">
        <v>3375.4604973875544</v>
      </c>
      <c r="N31" s="4">
        <v>3458.5827807737314</v>
      </c>
      <c r="O31">
        <v>6105.201253731816</v>
      </c>
      <c r="P31">
        <v>6105.201253731816</v>
      </c>
      <c r="Q31">
        <v>6105.201253731816</v>
      </c>
      <c r="S31" s="8"/>
    </row>
    <row r="32" spans="1:33" ht="16.5" thickTop="1" thickBot="1" x14ac:dyDescent="0.3">
      <c r="A32" s="2">
        <v>2032</v>
      </c>
      <c r="B32" s="4">
        <f t="shared" si="0"/>
        <v>572.36740617872704</v>
      </c>
      <c r="C32" s="4">
        <f t="shared" si="1"/>
        <v>588.57881740900609</v>
      </c>
      <c r="D32" s="4">
        <f t="shared" si="2"/>
        <v>604.76843910806178</v>
      </c>
      <c r="E32" s="4">
        <f t="shared" si="4"/>
        <v>1068.5150321376736</v>
      </c>
      <c r="F32" s="4">
        <f t="shared" si="5"/>
        <v>1068.5150321376736</v>
      </c>
      <c r="G32" s="4">
        <f t="shared" si="6"/>
        <v>1068.5150321376736</v>
      </c>
      <c r="L32" s="8">
        <v>3263.7610463200313</v>
      </c>
      <c r="M32" s="6">
        <v>3356.2019713414293</v>
      </c>
      <c r="N32" s="4">
        <v>3448.5186478076921</v>
      </c>
      <c r="O32">
        <v>6092.9006467733243</v>
      </c>
      <c r="P32">
        <v>6092.9006467733243</v>
      </c>
      <c r="Q32">
        <v>6092.9006467733243</v>
      </c>
      <c r="S32" s="8"/>
    </row>
    <row r="33" spans="1:19" ht="16.5" thickTop="1" thickBot="1" x14ac:dyDescent="0.3">
      <c r="A33" s="2">
        <v>2033</v>
      </c>
      <c r="B33" s="4">
        <f t="shared" si="0"/>
        <v>567.37760352854696</v>
      </c>
      <c r="C33" s="4">
        <f t="shared" si="1"/>
        <v>585.17965053814112</v>
      </c>
      <c r="D33" s="4">
        <f t="shared" si="2"/>
        <v>603.00348707895876</v>
      </c>
      <c r="E33" s="4">
        <f t="shared" si="4"/>
        <v>1066.3796580777712</v>
      </c>
      <c r="F33" s="4">
        <f t="shared" si="5"/>
        <v>1066.3796580777712</v>
      </c>
      <c r="G33" s="4">
        <f t="shared" si="6"/>
        <v>1066.3796580777712</v>
      </c>
      <c r="L33" s="8">
        <v>3235.3081271938208</v>
      </c>
      <c r="M33" s="6">
        <v>3336.8191967401685</v>
      </c>
      <c r="N33" s="4">
        <v>3438.4545148416528</v>
      </c>
      <c r="O33">
        <v>6080.7242883699673</v>
      </c>
      <c r="P33">
        <v>6080.7242883699673</v>
      </c>
      <c r="Q33">
        <v>6080.7242883699673</v>
      </c>
      <c r="S33" s="8"/>
    </row>
    <row r="34" spans="1:19" ht="16.5" thickTop="1" thickBot="1" x14ac:dyDescent="0.3">
      <c r="A34" s="2">
        <v>2034</v>
      </c>
      <c r="B34" s="4">
        <f t="shared" si="0"/>
        <v>562.3660113471434</v>
      </c>
      <c r="C34" s="4">
        <f t="shared" si="1"/>
        <v>581.80227319849962</v>
      </c>
      <c r="D34" s="4">
        <f t="shared" si="2"/>
        <v>601.23853504985584</v>
      </c>
      <c r="E34" s="4">
        <f t="shared" si="4"/>
        <v>1064.2224944866455</v>
      </c>
      <c r="F34" s="4">
        <f t="shared" si="5"/>
        <v>1064.2224944866455</v>
      </c>
      <c r="G34" s="4">
        <f t="shared" si="6"/>
        <v>1064.2224944866455</v>
      </c>
      <c r="L34" s="8">
        <v>3206.7309595124743</v>
      </c>
      <c r="M34" s="6">
        <v>3317.5606706940439</v>
      </c>
      <c r="N34" s="4">
        <v>3428.3903818756135</v>
      </c>
      <c r="O34">
        <v>6068.4236814114756</v>
      </c>
      <c r="P34">
        <v>6068.4236814114756</v>
      </c>
      <c r="Q34">
        <v>6068.4236814114756</v>
      </c>
      <c r="S34" s="8"/>
    </row>
    <row r="35" spans="1:19" ht="16.5" thickTop="1" thickBot="1" x14ac:dyDescent="0.3">
      <c r="A35" s="2">
        <v>2035</v>
      </c>
      <c r="B35" s="4">
        <f t="shared" si="0"/>
        <v>557.35441916573996</v>
      </c>
      <c r="C35" s="4">
        <f t="shared" si="1"/>
        <v>578.40310632763465</v>
      </c>
      <c r="D35" s="4">
        <f t="shared" si="2"/>
        <v>599.45179348952934</v>
      </c>
      <c r="E35" s="4">
        <f t="shared" si="4"/>
        <v>1062.087120426743</v>
      </c>
      <c r="F35" s="4">
        <f t="shared" si="5"/>
        <v>1062.087120426743</v>
      </c>
      <c r="G35" s="4">
        <f t="shared" si="6"/>
        <v>1062.087120426743</v>
      </c>
      <c r="L35" s="8">
        <v>3178.1537918311283</v>
      </c>
      <c r="M35" s="6">
        <v>3298.1778960927827</v>
      </c>
      <c r="N35" s="4">
        <v>3418.2020003544376</v>
      </c>
      <c r="O35">
        <v>6056.2473230081187</v>
      </c>
      <c r="P35">
        <v>6056.2473230081187</v>
      </c>
      <c r="Q35">
        <v>6056.2473230081187</v>
      </c>
      <c r="S35" s="8"/>
    </row>
    <row r="36" spans="1:19" ht="16.5" thickTop="1" thickBot="1" x14ac:dyDescent="0.3">
      <c r="A36" s="2">
        <v>2036</v>
      </c>
      <c r="B36" s="4">
        <f t="shared" si="0"/>
        <v>552.34282698433651</v>
      </c>
      <c r="C36" s="4">
        <f t="shared" si="1"/>
        <v>572.86856539686733</v>
      </c>
      <c r="D36" s="4">
        <f t="shared" si="2"/>
        <v>593.37251427817455</v>
      </c>
      <c r="E36" s="4">
        <f t="shared" si="4"/>
        <v>1059.9299568356171</v>
      </c>
      <c r="F36" s="4">
        <f t="shared" si="5"/>
        <v>1059.9299568356171</v>
      </c>
      <c r="G36" s="4">
        <f t="shared" si="6"/>
        <v>1059.9299568356171</v>
      </c>
      <c r="L36" s="8">
        <v>3149.5766241497818</v>
      </c>
      <c r="M36" s="6">
        <v>3266.6187630881655</v>
      </c>
      <c r="N36" s="4">
        <v>3383.536653471413</v>
      </c>
      <c r="O36">
        <v>6043.946716049626</v>
      </c>
      <c r="P36">
        <v>6043.946716049626</v>
      </c>
      <c r="Q36">
        <v>6043.946716049626</v>
      </c>
      <c r="S36" s="8"/>
    </row>
    <row r="37" spans="1:19" ht="16.5" thickTop="1" thickBot="1" x14ac:dyDescent="0.3">
      <c r="A37" s="2">
        <v>2037</v>
      </c>
      <c r="B37" s="4">
        <f t="shared" si="0"/>
        <v>547.33123480293295</v>
      </c>
      <c r="C37" s="4">
        <f t="shared" si="1"/>
        <v>567.31223493487641</v>
      </c>
      <c r="D37" s="4">
        <f t="shared" si="2"/>
        <v>587.29323506681999</v>
      </c>
      <c r="E37" s="4">
        <f t="shared" si="4"/>
        <v>1057.7945827757148</v>
      </c>
      <c r="F37" s="4">
        <f t="shared" si="5"/>
        <v>1057.7945827757148</v>
      </c>
      <c r="G37" s="4">
        <f t="shared" si="6"/>
        <v>1057.7945827757148</v>
      </c>
      <c r="L37" s="8">
        <v>3120.9994564684353</v>
      </c>
      <c r="M37" s="6">
        <v>3234.9353815284117</v>
      </c>
      <c r="N37" s="4">
        <v>3348.871306588389</v>
      </c>
      <c r="O37">
        <v>6031.77035764627</v>
      </c>
      <c r="P37">
        <v>6031.77035764627</v>
      </c>
      <c r="Q37">
        <v>6031.77035764627</v>
      </c>
      <c r="S37" s="8"/>
    </row>
    <row r="38" spans="1:19" ht="16.5" thickTop="1" thickBot="1" x14ac:dyDescent="0.3">
      <c r="A38" s="2">
        <v>2038</v>
      </c>
      <c r="B38" s="4">
        <f t="shared" si="0"/>
        <v>542.3196426215294</v>
      </c>
      <c r="C38" s="4">
        <f t="shared" si="1"/>
        <v>561.75590447288562</v>
      </c>
      <c r="D38" s="4">
        <f t="shared" si="2"/>
        <v>581.21395585546531</v>
      </c>
      <c r="E38" s="4">
        <f t="shared" si="4"/>
        <v>1055.6374191845889</v>
      </c>
      <c r="F38" s="4">
        <f t="shared" si="5"/>
        <v>1055.6374191845889</v>
      </c>
      <c r="G38" s="4">
        <f t="shared" si="6"/>
        <v>1055.6374191845889</v>
      </c>
      <c r="L38" s="8">
        <v>3092.4222887870887</v>
      </c>
      <c r="M38" s="6">
        <v>3203.2519999686583</v>
      </c>
      <c r="N38" s="4">
        <v>3314.2059597053644</v>
      </c>
      <c r="O38">
        <v>6019.4697506877774</v>
      </c>
      <c r="P38">
        <v>6019.4697506877774</v>
      </c>
      <c r="Q38">
        <v>6019.4697506877774</v>
      </c>
      <c r="S38" s="8"/>
    </row>
    <row r="39" spans="1:19" ht="16.5" thickTop="1" thickBot="1" x14ac:dyDescent="0.3">
      <c r="A39" s="2">
        <v>2039</v>
      </c>
      <c r="B39" s="4">
        <f t="shared" si="0"/>
        <v>537.30805044012595</v>
      </c>
      <c r="C39" s="4">
        <f t="shared" si="1"/>
        <v>556.22136354211818</v>
      </c>
      <c r="D39" s="4">
        <f t="shared" si="2"/>
        <v>575.13467664411064</v>
      </c>
      <c r="E39" s="4">
        <f t="shared" si="4"/>
        <v>1053.5020451246864</v>
      </c>
      <c r="F39" s="4">
        <f t="shared" si="5"/>
        <v>1053.5020451246864</v>
      </c>
      <c r="G39" s="4">
        <f t="shared" si="6"/>
        <v>1053.5020451246864</v>
      </c>
      <c r="L39" s="8">
        <v>3063.8451211057427</v>
      </c>
      <c r="M39" s="6">
        <v>3171.6928669640406</v>
      </c>
      <c r="N39" s="4">
        <v>3279.5406128223394</v>
      </c>
      <c r="O39">
        <v>6007.2933922844204</v>
      </c>
      <c r="P39">
        <v>6007.2933922844204</v>
      </c>
      <c r="Q39">
        <v>6007.2933922844204</v>
      </c>
      <c r="S39" s="8"/>
    </row>
    <row r="40" spans="1:19" ht="16.5" thickTop="1" thickBot="1" x14ac:dyDescent="0.3">
      <c r="A40" s="2">
        <v>2040</v>
      </c>
      <c r="B40" s="4">
        <f t="shared" si="0"/>
        <v>532.2964582587224</v>
      </c>
      <c r="C40" s="4">
        <f t="shared" si="1"/>
        <v>550.66503308012739</v>
      </c>
      <c r="D40" s="4">
        <f t="shared" si="2"/>
        <v>569.03360790153249</v>
      </c>
      <c r="E40" s="4">
        <f t="shared" si="4"/>
        <v>1051.3448815335607</v>
      </c>
      <c r="F40" s="4">
        <f t="shared" si="5"/>
        <v>1051.3448815335607</v>
      </c>
      <c r="G40" s="4">
        <f t="shared" si="6"/>
        <v>1051.3448815335607</v>
      </c>
      <c r="L40" s="8">
        <v>3035.2679534243962</v>
      </c>
      <c r="M40" s="6">
        <v>3140.0094854042873</v>
      </c>
      <c r="N40" s="4">
        <v>3244.7510173841788</v>
      </c>
      <c r="O40">
        <v>5994.9927853259287</v>
      </c>
      <c r="P40">
        <v>5994.9927853259287</v>
      </c>
      <c r="Q40">
        <v>5994.9927853259287</v>
      </c>
      <c r="S40" s="8"/>
    </row>
    <row r="41" spans="1:19" ht="16.5" thickTop="1" thickBot="1" x14ac:dyDescent="0.3">
      <c r="A41" s="2">
        <v>2041</v>
      </c>
      <c r="B41" s="4">
        <f t="shared" si="0"/>
        <v>527.30665560854243</v>
      </c>
      <c r="C41" s="4">
        <f t="shared" si="1"/>
        <v>545.13049214936018</v>
      </c>
      <c r="D41" s="4">
        <f t="shared" si="2"/>
        <v>562.95432869017782</v>
      </c>
      <c r="E41" s="4">
        <f t="shared" si="4"/>
        <v>1049.2095074736583</v>
      </c>
      <c r="F41" s="4">
        <f t="shared" si="5"/>
        <v>1049.2095074736583</v>
      </c>
      <c r="G41" s="4">
        <f t="shared" si="6"/>
        <v>1049.2095074736583</v>
      </c>
      <c r="L41" s="8">
        <v>3006.8150342981858</v>
      </c>
      <c r="M41" s="6">
        <v>3108.4503523996705</v>
      </c>
      <c r="N41" s="4">
        <v>3210.0856705011543</v>
      </c>
      <c r="O41">
        <v>5982.8164269225717</v>
      </c>
      <c r="P41">
        <v>5982.8164269225717</v>
      </c>
      <c r="Q41">
        <v>5982.8164269225717</v>
      </c>
      <c r="S41" s="8"/>
    </row>
    <row r="42" spans="1:19" ht="16.5" thickTop="1" thickBot="1" x14ac:dyDescent="0.3">
      <c r="A42" s="2">
        <v>2042</v>
      </c>
      <c r="B42" s="4">
        <f t="shared" si="0"/>
        <v>522.29506342713898</v>
      </c>
      <c r="C42" s="4">
        <f t="shared" si="1"/>
        <v>539.57416168736927</v>
      </c>
      <c r="D42" s="4">
        <f t="shared" si="2"/>
        <v>556.87504947882303</v>
      </c>
      <c r="E42" s="4">
        <f t="shared" si="4"/>
        <v>1047.0523438825326</v>
      </c>
      <c r="F42" s="4">
        <f t="shared" si="5"/>
        <v>1047.0523438825326</v>
      </c>
      <c r="G42" s="4">
        <f t="shared" si="6"/>
        <v>1047.0523438825326</v>
      </c>
      <c r="L42" s="8">
        <v>2978.2378666168397</v>
      </c>
      <c r="M42" s="6">
        <v>3076.7669708399167</v>
      </c>
      <c r="N42" s="4">
        <v>3175.4203236181293</v>
      </c>
      <c r="O42">
        <v>5970.51581996408</v>
      </c>
      <c r="P42">
        <v>5970.51581996408</v>
      </c>
      <c r="Q42">
        <v>5970.51581996408</v>
      </c>
      <c r="S42" s="8"/>
    </row>
    <row r="43" spans="1:19" ht="16.5" thickTop="1" thickBot="1" x14ac:dyDescent="0.3">
      <c r="A43" s="2">
        <v>2043</v>
      </c>
      <c r="B43" s="4">
        <f t="shared" si="0"/>
        <v>517.28347124573543</v>
      </c>
      <c r="C43" s="4">
        <f t="shared" si="1"/>
        <v>534.03962075660195</v>
      </c>
      <c r="D43" s="4">
        <f t="shared" si="2"/>
        <v>550.79577026746847</v>
      </c>
      <c r="E43" s="4">
        <f t="shared" si="4"/>
        <v>1044.9169698226301</v>
      </c>
      <c r="F43" s="4">
        <f t="shared" si="5"/>
        <v>1044.9169698226301</v>
      </c>
      <c r="G43" s="4">
        <f t="shared" si="6"/>
        <v>1044.9169698226301</v>
      </c>
      <c r="L43" s="8">
        <v>2949.6606989354932</v>
      </c>
      <c r="M43" s="6">
        <v>3045.2078378352994</v>
      </c>
      <c r="N43" s="4">
        <v>3140.7549767351052</v>
      </c>
      <c r="O43">
        <v>5958.3394615607231</v>
      </c>
      <c r="P43">
        <v>5958.3394615607231</v>
      </c>
      <c r="Q43">
        <v>5958.3394615607231</v>
      </c>
      <c r="S43" s="8"/>
    </row>
    <row r="44" spans="1:19" ht="16.5" thickTop="1" thickBot="1" x14ac:dyDescent="0.3">
      <c r="A44" s="2">
        <v>2044</v>
      </c>
      <c r="B44" s="4">
        <f t="shared" si="0"/>
        <v>512.27187906433187</v>
      </c>
      <c r="C44" s="4">
        <f t="shared" si="1"/>
        <v>528.48329029461104</v>
      </c>
      <c r="D44" s="4">
        <f t="shared" si="2"/>
        <v>544.7164910561138</v>
      </c>
      <c r="E44" s="4">
        <f t="shared" si="4"/>
        <v>1042.7598062315046</v>
      </c>
      <c r="F44" s="4">
        <f t="shared" si="5"/>
        <v>1042.7598062315046</v>
      </c>
      <c r="G44" s="4">
        <f t="shared" si="6"/>
        <v>1042.7598062315046</v>
      </c>
      <c r="L44" s="8">
        <v>2921.0835312541467</v>
      </c>
      <c r="M44" s="6">
        <v>3013.5244562755456</v>
      </c>
      <c r="N44" s="4">
        <v>3106.0896298520806</v>
      </c>
      <c r="O44">
        <v>5946.0388546022314</v>
      </c>
      <c r="P44">
        <v>5946.0388546022314</v>
      </c>
      <c r="Q44">
        <v>5946.0388546022314</v>
      </c>
      <c r="S44" s="8"/>
    </row>
    <row r="45" spans="1:19" ht="16.5" thickTop="1" thickBot="1" x14ac:dyDescent="0.3">
      <c r="A45" s="2">
        <v>2045</v>
      </c>
      <c r="B45" s="4">
        <f t="shared" si="0"/>
        <v>507.26028688292837</v>
      </c>
      <c r="C45" s="4">
        <f t="shared" si="1"/>
        <v>522.94874936384372</v>
      </c>
      <c r="D45" s="4">
        <f t="shared" si="2"/>
        <v>538.61542231353553</v>
      </c>
      <c r="E45" s="4">
        <f t="shared" si="4"/>
        <v>1040.6244321716022</v>
      </c>
      <c r="F45" s="4">
        <f t="shared" si="5"/>
        <v>1040.6244321716022</v>
      </c>
      <c r="G45" s="4">
        <f t="shared" si="6"/>
        <v>1040.6244321716022</v>
      </c>
      <c r="L45" s="8">
        <v>2892.5063635728002</v>
      </c>
      <c r="M45" s="6">
        <v>2981.9653232709284</v>
      </c>
      <c r="N45" s="4">
        <v>3071.30003441392</v>
      </c>
      <c r="O45">
        <v>5933.8624961988744</v>
      </c>
      <c r="P45">
        <v>5933.8624961988744</v>
      </c>
      <c r="Q45">
        <v>5933.8624961988744</v>
      </c>
      <c r="S45" s="8"/>
    </row>
    <row r="46" spans="1:19" ht="16.5" thickTop="1" thickBot="1" x14ac:dyDescent="0.3">
      <c r="A46" s="2">
        <v>2046</v>
      </c>
      <c r="B46" s="4">
        <f t="shared" si="0"/>
        <v>502.24869470152493</v>
      </c>
      <c r="C46" s="4">
        <f t="shared" si="1"/>
        <v>517.39241890185292</v>
      </c>
      <c r="D46" s="4">
        <f t="shared" si="2"/>
        <v>532.53614310218086</v>
      </c>
      <c r="E46" s="4">
        <f t="shared" si="4"/>
        <v>1038.467268580476</v>
      </c>
      <c r="F46" s="4">
        <f t="shared" si="5"/>
        <v>1038.467268580476</v>
      </c>
      <c r="G46" s="4">
        <f t="shared" si="6"/>
        <v>1038.467268580476</v>
      </c>
      <c r="L46" s="8">
        <v>2863.9291958914541</v>
      </c>
      <c r="M46" s="6">
        <v>2950.2819417111746</v>
      </c>
      <c r="N46" s="4">
        <v>3036.634687530895</v>
      </c>
      <c r="O46">
        <v>5921.5618892403818</v>
      </c>
      <c r="P46">
        <v>5921.5618892403818</v>
      </c>
      <c r="Q46">
        <v>5921.5618892403818</v>
      </c>
      <c r="S46" s="8"/>
    </row>
    <row r="47" spans="1:19" ht="16.5" thickTop="1" thickBot="1" x14ac:dyDescent="0.3">
      <c r="A47" s="2">
        <v>2047</v>
      </c>
      <c r="B47" s="4">
        <f t="shared" si="0"/>
        <v>497.23710252012137</v>
      </c>
      <c r="C47" s="4">
        <f t="shared" si="1"/>
        <v>511.85787797108554</v>
      </c>
      <c r="D47" s="4">
        <f t="shared" si="2"/>
        <v>526.45686389082618</v>
      </c>
      <c r="E47" s="4">
        <f t="shared" si="4"/>
        <v>1036.331894520574</v>
      </c>
      <c r="F47" s="4">
        <f t="shared" si="5"/>
        <v>1036.331894520574</v>
      </c>
      <c r="G47" s="4">
        <f t="shared" si="6"/>
        <v>1036.331894520574</v>
      </c>
      <c r="L47" s="8">
        <v>2835.3520282101076</v>
      </c>
      <c r="M47" s="6">
        <v>2918.7228087065573</v>
      </c>
      <c r="N47" s="4">
        <v>3001.9693406478705</v>
      </c>
      <c r="O47">
        <v>5909.3855308370257</v>
      </c>
      <c r="P47">
        <v>5909.3855308370257</v>
      </c>
      <c r="Q47">
        <v>5909.3855308370257</v>
      </c>
      <c r="S47" s="8"/>
    </row>
    <row r="48" spans="1:19" ht="16.5" thickTop="1" thickBot="1" x14ac:dyDescent="0.3">
      <c r="A48" s="2">
        <v>2048</v>
      </c>
      <c r="B48" s="4">
        <f t="shared" si="0"/>
        <v>492.24729986994134</v>
      </c>
      <c r="C48" s="4">
        <f t="shared" si="1"/>
        <v>506.30154750909469</v>
      </c>
      <c r="D48" s="4">
        <f t="shared" si="2"/>
        <v>520.3775846794714</v>
      </c>
      <c r="E48" s="4">
        <f t="shared" si="4"/>
        <v>1034.1747309294481</v>
      </c>
      <c r="F48" s="4">
        <f t="shared" si="5"/>
        <v>1034.1747309294481</v>
      </c>
      <c r="G48" s="4">
        <f t="shared" si="6"/>
        <v>1034.1747309294481</v>
      </c>
      <c r="L48" s="8">
        <v>2806.8991090838972</v>
      </c>
      <c r="M48" s="6">
        <v>2887.0394271468035</v>
      </c>
      <c r="N48" s="4">
        <v>2967.3039937648459</v>
      </c>
      <c r="O48">
        <v>5897.0849238785331</v>
      </c>
      <c r="P48">
        <v>5897.0849238785331</v>
      </c>
      <c r="Q48">
        <v>5897.0849238785331</v>
      </c>
      <c r="S48" s="8"/>
    </row>
    <row r="49" spans="1:19" ht="16.5" thickTop="1" thickBot="1" x14ac:dyDescent="0.3">
      <c r="A49" s="2">
        <v>2049</v>
      </c>
      <c r="B49" s="4">
        <f t="shared" si="0"/>
        <v>487.2357076885379</v>
      </c>
      <c r="C49" s="4">
        <f t="shared" si="1"/>
        <v>500.76700657832737</v>
      </c>
      <c r="D49" s="4">
        <f t="shared" si="2"/>
        <v>514.29830546811684</v>
      </c>
      <c r="E49" s="4">
        <f t="shared" si="4"/>
        <v>1032.0393568695456</v>
      </c>
      <c r="F49" s="4">
        <f t="shared" si="5"/>
        <v>1032.0393568695456</v>
      </c>
      <c r="G49" s="4">
        <f t="shared" si="6"/>
        <v>1032.0393568695456</v>
      </c>
      <c r="L49" s="8">
        <v>2778.3219414025511</v>
      </c>
      <c r="M49" s="6">
        <v>2855.4802941421863</v>
      </c>
      <c r="N49" s="4">
        <v>2932.6386468818218</v>
      </c>
      <c r="O49">
        <v>5884.9085654751761</v>
      </c>
      <c r="P49">
        <v>5884.9085654751761</v>
      </c>
      <c r="Q49">
        <v>5884.9085654751761</v>
      </c>
      <c r="S49" s="8"/>
    </row>
    <row r="50" spans="1:19" ht="16.5" thickTop="1" thickBot="1" x14ac:dyDescent="0.3">
      <c r="A50" s="2">
        <v>2050</v>
      </c>
      <c r="B50" s="4">
        <f t="shared" si="0"/>
        <v>482.2241155071344</v>
      </c>
      <c r="C50" s="4">
        <f t="shared" si="1"/>
        <v>495.21067611633646</v>
      </c>
      <c r="D50" s="4">
        <f t="shared" si="2"/>
        <v>508.19723672553863</v>
      </c>
      <c r="E50" s="4">
        <f t="shared" si="4"/>
        <v>1029.8821932784199</v>
      </c>
      <c r="F50" s="4">
        <f t="shared" si="5"/>
        <v>1029.8821932784199</v>
      </c>
      <c r="G50" s="4">
        <f t="shared" si="6"/>
        <v>1029.8821932784199</v>
      </c>
      <c r="L50" s="8">
        <v>2749.7447737212046</v>
      </c>
      <c r="M50" s="6">
        <v>2823.7969125824325</v>
      </c>
      <c r="N50" s="4">
        <v>2897.8490514436608</v>
      </c>
      <c r="O50">
        <v>5872.6079585166844</v>
      </c>
      <c r="P50">
        <v>5872.6079585166844</v>
      </c>
      <c r="Q50">
        <v>5872.6079585166844</v>
      </c>
      <c r="S50" s="8"/>
    </row>
    <row r="51" spans="1:19" ht="15.75" thickTop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workbookViewId="0">
      <selection activeCell="K48" sqref="K48"/>
    </sheetView>
  </sheetViews>
  <sheetFormatPr defaultRowHeight="15" x14ac:dyDescent="0.25"/>
  <sheetData>
    <row r="1" spans="1:31" x14ac:dyDescent="0.25"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24</v>
      </c>
      <c r="B2">
        <v>1120.3676404108739</v>
      </c>
      <c r="C2">
        <v>1120.3676404108739</v>
      </c>
      <c r="D2">
        <v>1111.4279425021498</v>
      </c>
      <c r="E2">
        <v>1102.5999908172846</v>
      </c>
      <c r="F2">
        <v>1093.7720391324192</v>
      </c>
      <c r="G2">
        <v>1084.944087447554</v>
      </c>
      <c r="H2">
        <v>1076.0043895388296</v>
      </c>
      <c r="I2">
        <v>1067.1764378539644</v>
      </c>
      <c r="J2">
        <v>1058.3484861690993</v>
      </c>
      <c r="K2">
        <v>1049.5205344842338</v>
      </c>
      <c r="L2">
        <v>1040.6925827993687</v>
      </c>
      <c r="M2">
        <v>1031.7528848906443</v>
      </c>
      <c r="N2">
        <v>1022.924933205779</v>
      </c>
      <c r="O2">
        <v>1014.0969815209138</v>
      </c>
      <c r="P2">
        <v>1005.2690298360486</v>
      </c>
      <c r="Q2">
        <v>996.32933192732423</v>
      </c>
      <c r="R2">
        <v>987.50138024245905</v>
      </c>
      <c r="S2">
        <v>978.67342855759364</v>
      </c>
      <c r="T2">
        <v>969.84547687272845</v>
      </c>
      <c r="U2">
        <v>960.90577896400418</v>
      </c>
      <c r="V2">
        <v>952.07782727913889</v>
      </c>
      <c r="W2">
        <v>943.2498755942737</v>
      </c>
      <c r="X2">
        <v>934.42192390940841</v>
      </c>
      <c r="Y2">
        <v>925.59397222454311</v>
      </c>
      <c r="Z2">
        <v>916.65427431581872</v>
      </c>
      <c r="AA2">
        <v>907.82632263095354</v>
      </c>
      <c r="AB2">
        <v>898.99837094608836</v>
      </c>
      <c r="AC2">
        <v>890.17041926122306</v>
      </c>
      <c r="AD2">
        <v>881.23072135249879</v>
      </c>
      <c r="AE2">
        <v>872.40276966763349</v>
      </c>
    </row>
    <row r="3" spans="1:31" x14ac:dyDescent="0.25">
      <c r="A3" t="s">
        <v>24</v>
      </c>
      <c r="B3">
        <v>1120.3676404108739</v>
      </c>
      <c r="C3">
        <v>1120.3676404108739</v>
      </c>
      <c r="D3">
        <v>1111.4279425021498</v>
      </c>
      <c r="E3">
        <v>1102.5999908172846</v>
      </c>
      <c r="F3">
        <v>1093.7720391324192</v>
      </c>
      <c r="G3">
        <v>1084.944087447554</v>
      </c>
      <c r="H3">
        <v>1076.0043895388296</v>
      </c>
      <c r="I3">
        <v>1067.1764378539644</v>
      </c>
      <c r="J3">
        <v>1058.3484861690993</v>
      </c>
      <c r="K3">
        <v>1049.5205344842338</v>
      </c>
      <c r="L3">
        <v>1040.6925827993687</v>
      </c>
      <c r="M3">
        <v>1031.7528848906443</v>
      </c>
      <c r="N3">
        <v>1022.924933205779</v>
      </c>
      <c r="O3">
        <v>1014.0969815209138</v>
      </c>
      <c r="P3">
        <v>1005.2690298360486</v>
      </c>
      <c r="Q3">
        <v>996.32933192732423</v>
      </c>
      <c r="R3">
        <v>987.50138024245905</v>
      </c>
      <c r="S3">
        <v>978.67342855759364</v>
      </c>
      <c r="T3">
        <v>969.84547687272845</v>
      </c>
      <c r="U3">
        <v>960.90577896400418</v>
      </c>
      <c r="V3">
        <v>952.07782727913889</v>
      </c>
      <c r="W3">
        <v>943.2498755942737</v>
      </c>
      <c r="X3">
        <v>934.42192390940841</v>
      </c>
      <c r="Y3">
        <v>925.59397222454311</v>
      </c>
      <c r="Z3">
        <v>916.65427431581872</v>
      </c>
      <c r="AA3">
        <v>907.82632263095354</v>
      </c>
      <c r="AB3">
        <v>898.99837094608836</v>
      </c>
      <c r="AC3">
        <v>890.17041926122306</v>
      </c>
      <c r="AD3">
        <v>881.23072135249879</v>
      </c>
      <c r="AE3">
        <v>872.40276966763349</v>
      </c>
    </row>
    <row r="4" spans="1:31" x14ac:dyDescent="0.25">
      <c r="A4" t="s">
        <v>24</v>
      </c>
      <c r="B4">
        <v>1120.3676404108739</v>
      </c>
      <c r="C4">
        <v>1120.3676404108739</v>
      </c>
      <c r="D4">
        <v>1111.4279425021498</v>
      </c>
      <c r="E4">
        <v>1102.5999908172846</v>
      </c>
      <c r="F4">
        <v>1093.7720391324192</v>
      </c>
      <c r="G4">
        <v>1084.944087447554</v>
      </c>
      <c r="H4">
        <v>1076.0043895388296</v>
      </c>
      <c r="I4">
        <v>1067.1764378539644</v>
      </c>
      <c r="J4">
        <v>1058.3484861690993</v>
      </c>
      <c r="K4">
        <v>1049.5205344842338</v>
      </c>
      <c r="L4">
        <v>1040.6925827993687</v>
      </c>
      <c r="M4">
        <v>1031.7528848906443</v>
      </c>
      <c r="N4">
        <v>1022.924933205779</v>
      </c>
      <c r="O4">
        <v>1014.0969815209138</v>
      </c>
      <c r="P4">
        <v>1005.2690298360486</v>
      </c>
      <c r="Q4">
        <v>996.32933192732423</v>
      </c>
      <c r="R4">
        <v>987.50138024245905</v>
      </c>
      <c r="S4">
        <v>978.67342855759364</v>
      </c>
      <c r="T4">
        <v>969.84547687272845</v>
      </c>
      <c r="U4">
        <v>960.90577896400418</v>
      </c>
      <c r="V4">
        <v>952.07782727913889</v>
      </c>
      <c r="W4">
        <v>943.2498755942737</v>
      </c>
      <c r="X4">
        <v>934.42192390940841</v>
      </c>
      <c r="Y4">
        <v>925.59397222454311</v>
      </c>
      <c r="Z4">
        <v>916.65427431581872</v>
      </c>
      <c r="AA4">
        <v>907.82632263095354</v>
      </c>
      <c r="AB4">
        <v>898.99837094608836</v>
      </c>
      <c r="AC4">
        <v>890.17041926122306</v>
      </c>
      <c r="AD4">
        <v>881.23072135249879</v>
      </c>
      <c r="AE4">
        <v>872.40276966763349</v>
      </c>
    </row>
    <row r="5" spans="1:31" x14ac:dyDescent="0.25">
      <c r="A5" t="s">
        <v>26</v>
      </c>
      <c r="B5">
        <v>1247.5348431624775</v>
      </c>
      <c r="C5">
        <v>1247.5348431624775</v>
      </c>
      <c r="D5">
        <v>1234.23704252325</v>
      </c>
      <c r="E5">
        <v>1221.0509881078815</v>
      </c>
      <c r="F5">
        <v>1207.753187468654</v>
      </c>
      <c r="G5">
        <v>1194.4553868294267</v>
      </c>
      <c r="H5">
        <v>1181.2693324140582</v>
      </c>
      <c r="I5">
        <v>1167.971531774831</v>
      </c>
      <c r="J5">
        <v>1154.7854773594627</v>
      </c>
      <c r="K5">
        <v>1141.4876767202352</v>
      </c>
      <c r="L5">
        <v>1128.1898760810079</v>
      </c>
      <c r="M5">
        <v>1115.0038216656394</v>
      </c>
      <c r="N5">
        <v>1101.7060210264119</v>
      </c>
      <c r="O5">
        <v>1088.4082203871847</v>
      </c>
      <c r="P5">
        <v>1075.2221659718164</v>
      </c>
      <c r="Q5">
        <v>1065.2767520483603</v>
      </c>
      <c r="R5">
        <v>1055.3313381249047</v>
      </c>
      <c r="S5">
        <v>1045.3859242014489</v>
      </c>
      <c r="T5">
        <v>1035.4405102779931</v>
      </c>
      <c r="U5">
        <v>1025.4950963545373</v>
      </c>
      <c r="V5">
        <v>1015.5496824310815</v>
      </c>
      <c r="W5">
        <v>1005.6042685076256</v>
      </c>
      <c r="X5">
        <v>995.65885458416994</v>
      </c>
      <c r="Y5">
        <v>985.71344066071413</v>
      </c>
      <c r="Z5">
        <v>975.87977296111728</v>
      </c>
      <c r="AA5">
        <v>965.93435903766158</v>
      </c>
      <c r="AB5">
        <v>955.98894511420576</v>
      </c>
      <c r="AC5">
        <v>946.04353119075006</v>
      </c>
      <c r="AD5">
        <v>936.09811726729424</v>
      </c>
      <c r="AE5">
        <v>926.15270334383831</v>
      </c>
    </row>
    <row r="6" spans="1:31" ht="15.75" thickBot="1" x14ac:dyDescent="0.3">
      <c r="A6" t="s">
        <v>26</v>
      </c>
      <c r="B6">
        <v>1247.5348431624775</v>
      </c>
      <c r="C6">
        <v>1247.5348431624775</v>
      </c>
      <c r="D6">
        <v>1236.8072056720082</v>
      </c>
      <c r="E6">
        <v>1225.9678219576799</v>
      </c>
      <c r="F6">
        <v>1215.2401844672108</v>
      </c>
      <c r="G6">
        <v>1204.4008007528826</v>
      </c>
      <c r="H6">
        <v>1193.6731632624135</v>
      </c>
      <c r="I6">
        <v>1182.9455257719442</v>
      </c>
      <c r="J6">
        <v>1172.1061420576161</v>
      </c>
      <c r="K6">
        <v>1161.3785045671468</v>
      </c>
      <c r="L6">
        <v>1150.5391208528185</v>
      </c>
      <c r="M6">
        <v>1139.8114833623495</v>
      </c>
      <c r="N6">
        <v>1129.0838458718802</v>
      </c>
      <c r="O6">
        <v>1118.2444621575521</v>
      </c>
      <c r="P6">
        <v>1107.5168246670828</v>
      </c>
      <c r="Q6">
        <v>1098.3536343106405</v>
      </c>
      <c r="R6">
        <v>1089.3021901780569</v>
      </c>
      <c r="S6">
        <v>1080.1389998216146</v>
      </c>
      <c r="T6">
        <v>1071.0875556890312</v>
      </c>
      <c r="U6">
        <v>1061.9243653325889</v>
      </c>
      <c r="V6">
        <v>1052.8729212000055</v>
      </c>
      <c r="W6">
        <v>1043.709730843563</v>
      </c>
      <c r="X6">
        <v>1034.6582867109796</v>
      </c>
      <c r="Y6">
        <v>1025.4950963545373</v>
      </c>
      <c r="Z6">
        <v>1016.3319059980948</v>
      </c>
      <c r="AA6">
        <v>1007.2804618655115</v>
      </c>
      <c r="AB6">
        <v>998.11727150906916</v>
      </c>
      <c r="AC6">
        <v>989.0658273764858</v>
      </c>
      <c r="AD6">
        <v>979.90263702004324</v>
      </c>
      <c r="AE6">
        <v>970.85119288745989</v>
      </c>
    </row>
    <row r="7" spans="1:31" ht="15.75" thickTop="1" x14ac:dyDescent="0.25">
      <c r="A7" t="s">
        <v>26</v>
      </c>
      <c r="B7" s="20">
        <v>1247.5348431624775</v>
      </c>
      <c r="C7" s="20">
        <v>1247.5348431624775</v>
      </c>
      <c r="D7" s="20">
        <v>1239.2656225969074</v>
      </c>
      <c r="E7" s="20">
        <v>1230.9964020313373</v>
      </c>
      <c r="F7" s="20">
        <v>1222.6154352419082</v>
      </c>
      <c r="G7" s="20">
        <v>1214.3462146763384</v>
      </c>
      <c r="H7" s="20">
        <v>1206.0769941107683</v>
      </c>
      <c r="I7" s="20">
        <v>1197.8077735451984</v>
      </c>
      <c r="J7" s="20">
        <v>1189.5385529796283</v>
      </c>
      <c r="K7" s="20">
        <v>1181.2693324140582</v>
      </c>
      <c r="L7" s="20">
        <v>1173.0001118484884</v>
      </c>
      <c r="M7" s="20">
        <v>1164.6191450590593</v>
      </c>
      <c r="N7" s="20">
        <v>1156.3499244934892</v>
      </c>
      <c r="O7" s="20">
        <v>1148.0807039279196</v>
      </c>
      <c r="P7" s="20">
        <v>1139.8114833623495</v>
      </c>
      <c r="Q7" s="20">
        <v>1131.5422627967794</v>
      </c>
      <c r="R7" s="20">
        <v>1123.2730422312095</v>
      </c>
      <c r="S7" s="20">
        <v>1114.8920754417804</v>
      </c>
      <c r="T7" s="20">
        <v>1106.6228548762103</v>
      </c>
      <c r="U7" s="20">
        <v>1098.3536343106405</v>
      </c>
      <c r="V7" s="20">
        <v>1090.0844137450704</v>
      </c>
      <c r="W7" s="20">
        <v>1081.8151931795005</v>
      </c>
      <c r="X7" s="20">
        <v>1073.5459726139304</v>
      </c>
      <c r="Y7" s="20">
        <v>1065.2767520483603</v>
      </c>
      <c r="Z7" s="20">
        <v>1056.8957852589315</v>
      </c>
      <c r="AA7" s="20">
        <v>1048.6265646933614</v>
      </c>
      <c r="AB7" s="20">
        <v>1040.3573441277915</v>
      </c>
      <c r="AC7" s="20">
        <v>1032.0881235622214</v>
      </c>
      <c r="AD7" s="20">
        <v>1023.8189029966516</v>
      </c>
      <c r="AE7" s="20">
        <v>1015.5496824310815</v>
      </c>
    </row>
    <row r="8" spans="1:31" ht="15.75" thickBot="1" x14ac:dyDescent="0.3"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</row>
    <row r="9" spans="1:31" ht="15.75" thickTop="1" x14ac:dyDescent="0.25"/>
    <row r="12" spans="1:31" ht="15.75" thickBot="1" x14ac:dyDescent="0.3">
      <c r="A12" t="s">
        <v>28</v>
      </c>
    </row>
    <row r="13" spans="1:31" ht="15.75" thickTop="1" x14ac:dyDescent="0.25">
      <c r="A13" s="19" t="s">
        <v>24</v>
      </c>
      <c r="B13" s="20">
        <v>4.9400000000000004</v>
      </c>
      <c r="C13" s="20">
        <v>4.9400000000000004</v>
      </c>
      <c r="D13" s="20">
        <v>4.9400000000000004</v>
      </c>
      <c r="E13" s="20">
        <v>4.9400000000000004</v>
      </c>
      <c r="F13" s="20">
        <v>4.9400000000000004</v>
      </c>
      <c r="G13" s="20">
        <v>4.9400000000000004</v>
      </c>
      <c r="H13" s="20">
        <v>4.9400000000000004</v>
      </c>
      <c r="I13" s="20">
        <v>4.9400000000000004</v>
      </c>
      <c r="J13" s="20">
        <v>4.9400000000000004</v>
      </c>
      <c r="K13" s="20">
        <v>4.9400000000000004</v>
      </c>
      <c r="L13" s="20">
        <v>4.9400000000000004</v>
      </c>
      <c r="M13" s="20">
        <v>4.9400000000000004</v>
      </c>
      <c r="N13" s="20">
        <v>4.9400000000000004</v>
      </c>
      <c r="O13" s="20">
        <v>4.9400000000000004</v>
      </c>
      <c r="P13" s="20">
        <v>4.9400000000000004</v>
      </c>
      <c r="Q13" s="20">
        <v>4.9400000000000004</v>
      </c>
      <c r="R13" s="20">
        <v>4.9400000000000004</v>
      </c>
      <c r="S13" s="20">
        <v>4.9400000000000004</v>
      </c>
      <c r="T13" s="20">
        <v>4.9400000000000004</v>
      </c>
      <c r="U13" s="20">
        <v>4.9400000000000004</v>
      </c>
      <c r="V13" s="20">
        <v>4.9400000000000004</v>
      </c>
      <c r="W13" s="20">
        <v>4.9400000000000004</v>
      </c>
      <c r="X13" s="20">
        <v>4.9400000000000004</v>
      </c>
      <c r="Y13" s="20">
        <v>4.9400000000000004</v>
      </c>
      <c r="Z13" s="20">
        <v>4.9400000000000004</v>
      </c>
      <c r="AA13" s="20">
        <v>4.9400000000000004</v>
      </c>
      <c r="AB13" s="20">
        <v>4.9400000000000004</v>
      </c>
      <c r="AC13" s="20">
        <v>4.9400000000000004</v>
      </c>
      <c r="AD13" s="20">
        <v>4.9400000000000004</v>
      </c>
      <c r="AE13" s="20">
        <v>4.9400000000000004</v>
      </c>
    </row>
    <row r="14" spans="1:31" x14ac:dyDescent="0.25">
      <c r="A14" s="21" t="s">
        <v>25</v>
      </c>
      <c r="B14" s="22">
        <v>2</v>
      </c>
      <c r="C14" s="22">
        <v>2</v>
      </c>
      <c r="D14" s="22">
        <v>2</v>
      </c>
      <c r="E14" s="22">
        <v>2</v>
      </c>
      <c r="F14" s="22">
        <v>2</v>
      </c>
      <c r="G14" s="22">
        <v>2</v>
      </c>
      <c r="H14" s="22">
        <v>2</v>
      </c>
      <c r="I14" s="22">
        <v>2</v>
      </c>
      <c r="J14" s="22">
        <v>2</v>
      </c>
      <c r="K14" s="22">
        <v>2</v>
      </c>
      <c r="L14" s="22">
        <v>2</v>
      </c>
      <c r="M14" s="22">
        <v>2</v>
      </c>
      <c r="N14" s="22">
        <v>2</v>
      </c>
      <c r="O14" s="22">
        <v>2</v>
      </c>
      <c r="P14" s="22">
        <v>2</v>
      </c>
      <c r="Q14" s="22">
        <v>2</v>
      </c>
      <c r="R14" s="22">
        <v>2</v>
      </c>
      <c r="S14" s="22">
        <v>2</v>
      </c>
      <c r="T14" s="22">
        <v>2</v>
      </c>
      <c r="U14" s="22">
        <v>2</v>
      </c>
      <c r="V14" s="22">
        <v>2</v>
      </c>
      <c r="W14" s="22">
        <v>2</v>
      </c>
      <c r="X14" s="22">
        <v>2</v>
      </c>
      <c r="Y14" s="22">
        <v>2</v>
      </c>
      <c r="Z14" s="22">
        <v>2</v>
      </c>
      <c r="AA14" s="22">
        <v>2</v>
      </c>
      <c r="AB14" s="22">
        <v>2</v>
      </c>
      <c r="AC14" s="22">
        <v>2</v>
      </c>
      <c r="AD14" s="22">
        <v>2</v>
      </c>
      <c r="AE14" s="22">
        <v>2</v>
      </c>
    </row>
    <row r="17" spans="1:16" ht="15.75" thickBot="1" x14ac:dyDescent="0.3">
      <c r="B17" t="s">
        <v>48</v>
      </c>
      <c r="C17" t="s">
        <v>49</v>
      </c>
      <c r="D17" t="s">
        <v>48</v>
      </c>
      <c r="E17" t="s">
        <v>50</v>
      </c>
      <c r="F17" t="s">
        <v>51</v>
      </c>
      <c r="G17" t="s">
        <v>50</v>
      </c>
      <c r="H17" t="s">
        <v>36</v>
      </c>
      <c r="I17">
        <f>2387/6.5</f>
        <v>367.23076923076923</v>
      </c>
      <c r="J17">
        <f>I17*O18/L18</f>
        <v>408.91325630284342</v>
      </c>
    </row>
    <row r="18" spans="1:16" ht="16.5" thickTop="1" thickBot="1" x14ac:dyDescent="0.3">
      <c r="A18">
        <v>2020</v>
      </c>
      <c r="B18">
        <f>$I$17*K18/K$18</f>
        <v>367.23076923076923</v>
      </c>
      <c r="C18">
        <f t="shared" ref="C18:D18" si="0">$I$17*L18/L$18</f>
        <v>367.23076923076923</v>
      </c>
      <c r="D18">
        <f t="shared" si="0"/>
        <v>367.23076923076923</v>
      </c>
      <c r="E18">
        <f>$J$17*N18/N$18</f>
        <v>408.91325630284342</v>
      </c>
      <c r="F18">
        <f t="shared" ref="F18:G18" si="1">$J$17*O18/O$18</f>
        <v>408.91325630284342</v>
      </c>
      <c r="G18">
        <f t="shared" si="1"/>
        <v>408.91325630284342</v>
      </c>
      <c r="K18">
        <v>1120.3676404108739</v>
      </c>
      <c r="L18">
        <v>1120.3676404108739</v>
      </c>
      <c r="M18">
        <v>1120.3676404108739</v>
      </c>
      <c r="N18">
        <v>1247.5348431624775</v>
      </c>
      <c r="O18">
        <v>1247.5348431624775</v>
      </c>
      <c r="P18" s="20">
        <v>1247.5348431624775</v>
      </c>
    </row>
    <row r="19" spans="1:16" ht="16.5" thickTop="1" thickBot="1" x14ac:dyDescent="0.3">
      <c r="A19">
        <v>2021</v>
      </c>
      <c r="B19">
        <f t="shared" ref="B19:B48" si="2">$I$17*K19/K$18</f>
        <v>367.23076923076923</v>
      </c>
      <c r="C19">
        <f t="shared" ref="C19:C48" si="3">$I$17*L19/L$18</f>
        <v>367.23076923076923</v>
      </c>
      <c r="D19">
        <f t="shared" ref="D19:D48" si="4">$I$17*M19/M$18</f>
        <v>367.23076923076923</v>
      </c>
      <c r="E19">
        <f t="shared" ref="E19:E48" si="5">$J$17*N19/N$18</f>
        <v>408.91325630284342</v>
      </c>
      <c r="F19">
        <f t="shared" ref="F19:F48" si="6">$J$17*O19/O$18</f>
        <v>408.91325630284342</v>
      </c>
      <c r="G19">
        <f t="shared" ref="G19:G48" si="7">$J$17*P19/P$18</f>
        <v>408.91325630284342</v>
      </c>
      <c r="K19">
        <v>1120.3676404108739</v>
      </c>
      <c r="L19">
        <v>1120.3676404108739</v>
      </c>
      <c r="M19">
        <v>1120.3676404108739</v>
      </c>
      <c r="N19">
        <v>1247.5348431624775</v>
      </c>
      <c r="O19">
        <v>1247.5348431624775</v>
      </c>
      <c r="P19" s="20">
        <v>1247.5348431624775</v>
      </c>
    </row>
    <row r="20" spans="1:16" ht="16.5" thickTop="1" thickBot="1" x14ac:dyDescent="0.3">
      <c r="A20">
        <v>2022</v>
      </c>
      <c r="B20">
        <f t="shared" si="2"/>
        <v>367.23076923076923</v>
      </c>
      <c r="C20">
        <f t="shared" si="3"/>
        <v>367.23076923076923</v>
      </c>
      <c r="D20">
        <f t="shared" si="4"/>
        <v>367.23076923076923</v>
      </c>
      <c r="E20">
        <f t="shared" si="5"/>
        <v>408.91325630284342</v>
      </c>
      <c r="F20">
        <f t="shared" si="6"/>
        <v>408.91325630284342</v>
      </c>
      <c r="G20">
        <f t="shared" si="7"/>
        <v>408.91325630284342</v>
      </c>
      <c r="K20">
        <v>1120.3676404108739</v>
      </c>
      <c r="L20">
        <v>1120.3676404108739</v>
      </c>
      <c r="M20">
        <v>1120.3676404108739</v>
      </c>
      <c r="N20">
        <v>1247.5348431624775</v>
      </c>
      <c r="O20">
        <v>1247.5348431624775</v>
      </c>
      <c r="P20" s="20">
        <v>1247.5348431624775</v>
      </c>
    </row>
    <row r="21" spans="1:16" ht="16.5" thickTop="1" thickBot="1" x14ac:dyDescent="0.3">
      <c r="A21">
        <v>2023</v>
      </c>
      <c r="B21">
        <f t="shared" si="2"/>
        <v>364.3005416685848</v>
      </c>
      <c r="C21">
        <f t="shared" si="3"/>
        <v>364.3005416685848</v>
      </c>
      <c r="D21">
        <f t="shared" si="4"/>
        <v>364.3005416685848</v>
      </c>
      <c r="E21">
        <f t="shared" si="5"/>
        <v>404.55454280409401</v>
      </c>
      <c r="F21">
        <f t="shared" si="6"/>
        <v>405.39698322822198</v>
      </c>
      <c r="G21">
        <f t="shared" si="7"/>
        <v>406.20279580782272</v>
      </c>
      <c r="K21">
        <v>1111.4279425021498</v>
      </c>
      <c r="L21">
        <v>1111.4279425021498</v>
      </c>
      <c r="M21">
        <v>1111.4279425021498</v>
      </c>
      <c r="N21">
        <v>1234.23704252325</v>
      </c>
      <c r="O21">
        <v>1236.8072056720082</v>
      </c>
      <c r="P21" s="20">
        <v>1239.2656225969074</v>
      </c>
    </row>
    <row r="22" spans="1:16" ht="16.5" thickTop="1" thickBot="1" x14ac:dyDescent="0.3">
      <c r="A22">
        <v>2024</v>
      </c>
      <c r="B22">
        <f t="shared" si="2"/>
        <v>361.40694195092766</v>
      </c>
      <c r="C22">
        <f t="shared" si="3"/>
        <v>361.40694195092766</v>
      </c>
      <c r="D22">
        <f t="shared" si="4"/>
        <v>361.40694195092766</v>
      </c>
      <c r="E22">
        <f t="shared" si="5"/>
        <v>400.23245714987183</v>
      </c>
      <c r="F22">
        <f t="shared" si="6"/>
        <v>401.84408230907331</v>
      </c>
      <c r="G22">
        <f t="shared" si="7"/>
        <v>403.49233531280208</v>
      </c>
      <c r="K22">
        <v>1102.5999908172846</v>
      </c>
      <c r="L22">
        <v>1102.5999908172846</v>
      </c>
      <c r="M22">
        <v>1102.5999908172846</v>
      </c>
      <c r="N22">
        <v>1221.0509881078815</v>
      </c>
      <c r="O22">
        <v>1225.9678219576799</v>
      </c>
      <c r="P22" s="20">
        <v>1230.9964020313373</v>
      </c>
    </row>
    <row r="23" spans="1:16" ht="16.5" thickTop="1" thickBot="1" x14ac:dyDescent="0.3">
      <c r="A23">
        <v>2025</v>
      </c>
      <c r="B23">
        <f t="shared" si="2"/>
        <v>358.51334223327041</v>
      </c>
      <c r="C23">
        <f t="shared" si="3"/>
        <v>358.51334223327041</v>
      </c>
      <c r="D23">
        <f t="shared" si="4"/>
        <v>358.51334223327041</v>
      </c>
      <c r="E23">
        <f t="shared" si="5"/>
        <v>395.87374365112242</v>
      </c>
      <c r="F23">
        <f t="shared" si="6"/>
        <v>398.32780923445199</v>
      </c>
      <c r="G23">
        <f t="shared" si="7"/>
        <v>400.7452469732541</v>
      </c>
      <c r="K23">
        <v>1093.7720391324192</v>
      </c>
      <c r="L23">
        <v>1093.7720391324192</v>
      </c>
      <c r="M23">
        <v>1093.7720391324192</v>
      </c>
      <c r="N23">
        <v>1207.753187468654</v>
      </c>
      <c r="O23">
        <v>1215.2401844672108</v>
      </c>
      <c r="P23" s="20">
        <v>1222.6154352419082</v>
      </c>
    </row>
    <row r="24" spans="1:16" ht="16.5" thickTop="1" thickBot="1" x14ac:dyDescent="0.3">
      <c r="A24">
        <v>2026</v>
      </c>
      <c r="B24">
        <f t="shared" si="2"/>
        <v>355.61974251561327</v>
      </c>
      <c r="C24">
        <f t="shared" si="3"/>
        <v>355.61974251561327</v>
      </c>
      <c r="D24">
        <f t="shared" si="4"/>
        <v>355.61974251561327</v>
      </c>
      <c r="E24">
        <f t="shared" si="5"/>
        <v>391.51503015237307</v>
      </c>
      <c r="F24">
        <f t="shared" si="6"/>
        <v>394.77490831530326</v>
      </c>
      <c r="G24">
        <f t="shared" si="7"/>
        <v>398.03478647823351</v>
      </c>
      <c r="K24">
        <v>1084.944087447554</v>
      </c>
      <c r="L24">
        <v>1084.944087447554</v>
      </c>
      <c r="M24">
        <v>1084.944087447554</v>
      </c>
      <c r="N24">
        <v>1194.4553868294267</v>
      </c>
      <c r="O24">
        <v>1204.4008007528826</v>
      </c>
      <c r="P24" s="20">
        <v>1214.3462146763384</v>
      </c>
    </row>
    <row r="25" spans="1:16" ht="16.5" thickTop="1" thickBot="1" x14ac:dyDescent="0.3">
      <c r="A25">
        <v>2027</v>
      </c>
      <c r="B25">
        <f t="shared" si="2"/>
        <v>352.68951495342878</v>
      </c>
      <c r="C25">
        <f t="shared" si="3"/>
        <v>352.68951495342878</v>
      </c>
      <c r="D25">
        <f t="shared" si="4"/>
        <v>352.68951495342878</v>
      </c>
      <c r="E25">
        <f t="shared" si="5"/>
        <v>387.19294449815089</v>
      </c>
      <c r="F25">
        <f t="shared" si="6"/>
        <v>391.25863524068194</v>
      </c>
      <c r="G25">
        <f t="shared" si="7"/>
        <v>395.32432598321282</v>
      </c>
      <c r="K25">
        <v>1076.0043895388296</v>
      </c>
      <c r="L25">
        <v>1076.0043895388296</v>
      </c>
      <c r="M25">
        <v>1076.0043895388296</v>
      </c>
      <c r="N25">
        <v>1181.2693324140582</v>
      </c>
      <c r="O25">
        <v>1193.6731632624135</v>
      </c>
      <c r="P25" s="20">
        <v>1206.0769941107683</v>
      </c>
    </row>
    <row r="26" spans="1:16" ht="16.5" thickTop="1" thickBot="1" x14ac:dyDescent="0.3">
      <c r="A26">
        <v>2028</v>
      </c>
      <c r="B26">
        <f t="shared" si="2"/>
        <v>349.79591523577164</v>
      </c>
      <c r="C26">
        <f t="shared" si="3"/>
        <v>349.79591523577164</v>
      </c>
      <c r="D26">
        <f t="shared" si="4"/>
        <v>349.79591523577164</v>
      </c>
      <c r="E26">
        <f t="shared" si="5"/>
        <v>382.83423099940154</v>
      </c>
      <c r="F26">
        <f t="shared" si="6"/>
        <v>387.74236216606056</v>
      </c>
      <c r="G26">
        <f t="shared" si="7"/>
        <v>392.61386548819223</v>
      </c>
      <c r="K26">
        <v>1067.1764378539644</v>
      </c>
      <c r="L26">
        <v>1067.1764378539644</v>
      </c>
      <c r="M26">
        <v>1067.1764378539644</v>
      </c>
      <c r="N26">
        <v>1167.971531774831</v>
      </c>
      <c r="O26">
        <v>1182.9455257719442</v>
      </c>
      <c r="P26" s="20">
        <v>1197.8077735451984</v>
      </c>
    </row>
    <row r="27" spans="1:16" ht="16.5" thickTop="1" thickBot="1" x14ac:dyDescent="0.3">
      <c r="A27">
        <v>2029</v>
      </c>
      <c r="B27">
        <f t="shared" si="2"/>
        <v>346.90231551811451</v>
      </c>
      <c r="C27">
        <f t="shared" si="3"/>
        <v>346.90231551811451</v>
      </c>
      <c r="D27">
        <f t="shared" si="4"/>
        <v>346.90231551811451</v>
      </c>
      <c r="E27">
        <f t="shared" si="5"/>
        <v>378.51214534517948</v>
      </c>
      <c r="F27">
        <f t="shared" si="6"/>
        <v>384.18946124691195</v>
      </c>
      <c r="G27">
        <f t="shared" si="7"/>
        <v>389.90340499317159</v>
      </c>
      <c r="K27">
        <v>1058.3484861690993</v>
      </c>
      <c r="L27">
        <v>1058.3484861690993</v>
      </c>
      <c r="M27">
        <v>1058.3484861690993</v>
      </c>
      <c r="N27">
        <v>1154.7854773594627</v>
      </c>
      <c r="O27">
        <v>1172.1061420576161</v>
      </c>
      <c r="P27" s="20">
        <v>1189.5385529796283</v>
      </c>
    </row>
    <row r="28" spans="1:16" ht="16.5" thickTop="1" thickBot="1" x14ac:dyDescent="0.3">
      <c r="A28">
        <v>2030</v>
      </c>
      <c r="B28">
        <f t="shared" si="2"/>
        <v>344.00871580045731</v>
      </c>
      <c r="C28">
        <f t="shared" si="3"/>
        <v>344.00871580045731</v>
      </c>
      <c r="D28">
        <f t="shared" si="4"/>
        <v>344.00871580045731</v>
      </c>
      <c r="E28">
        <f t="shared" si="5"/>
        <v>374.15343184643001</v>
      </c>
      <c r="F28">
        <f t="shared" si="6"/>
        <v>380.67318817229051</v>
      </c>
      <c r="G28">
        <f t="shared" si="7"/>
        <v>387.19294449815089</v>
      </c>
      <c r="K28">
        <v>1049.5205344842338</v>
      </c>
      <c r="L28">
        <v>1049.5205344842338</v>
      </c>
      <c r="M28">
        <v>1049.5205344842338</v>
      </c>
      <c r="N28">
        <v>1141.4876767202352</v>
      </c>
      <c r="O28">
        <v>1161.3785045671468</v>
      </c>
      <c r="P28" s="20">
        <v>1181.2693324140582</v>
      </c>
    </row>
    <row r="29" spans="1:16" ht="16.5" thickTop="1" thickBot="1" x14ac:dyDescent="0.3">
      <c r="A29">
        <v>2031</v>
      </c>
      <c r="B29">
        <f t="shared" si="2"/>
        <v>341.11511608280011</v>
      </c>
      <c r="C29">
        <f t="shared" si="3"/>
        <v>341.11511608280011</v>
      </c>
      <c r="D29">
        <f t="shared" si="4"/>
        <v>341.11511608280011</v>
      </c>
      <c r="E29">
        <f t="shared" si="5"/>
        <v>369.79471834768071</v>
      </c>
      <c r="F29">
        <f t="shared" si="6"/>
        <v>377.12028725314184</v>
      </c>
      <c r="G29">
        <f t="shared" si="7"/>
        <v>384.48248400313031</v>
      </c>
      <c r="K29">
        <v>1040.6925827993687</v>
      </c>
      <c r="L29">
        <v>1040.6925827993687</v>
      </c>
      <c r="M29">
        <v>1040.6925827993687</v>
      </c>
      <c r="N29">
        <v>1128.1898760810079</v>
      </c>
      <c r="O29">
        <v>1150.5391208528185</v>
      </c>
      <c r="P29" s="20">
        <v>1173.0001118484884</v>
      </c>
    </row>
    <row r="30" spans="1:16" ht="16.5" thickTop="1" thickBot="1" x14ac:dyDescent="0.3">
      <c r="A30">
        <v>2032</v>
      </c>
      <c r="B30">
        <f t="shared" si="2"/>
        <v>338.18488852061563</v>
      </c>
      <c r="C30">
        <f t="shared" si="3"/>
        <v>338.18488852061563</v>
      </c>
      <c r="D30">
        <f t="shared" si="4"/>
        <v>338.18488852061563</v>
      </c>
      <c r="E30">
        <f t="shared" si="5"/>
        <v>365.47263269345854</v>
      </c>
      <c r="F30">
        <f t="shared" si="6"/>
        <v>373.60401417852052</v>
      </c>
      <c r="G30">
        <f t="shared" si="7"/>
        <v>381.73539566358232</v>
      </c>
      <c r="K30">
        <v>1031.7528848906443</v>
      </c>
      <c r="L30">
        <v>1031.7528848906443</v>
      </c>
      <c r="M30">
        <v>1031.7528848906443</v>
      </c>
      <c r="N30">
        <v>1115.0038216656394</v>
      </c>
      <c r="O30">
        <v>1139.8114833623495</v>
      </c>
      <c r="P30" s="20">
        <v>1164.6191450590593</v>
      </c>
    </row>
    <row r="31" spans="1:16" ht="16.5" thickTop="1" thickBot="1" x14ac:dyDescent="0.3">
      <c r="A31">
        <v>2033</v>
      </c>
      <c r="B31">
        <f t="shared" si="2"/>
        <v>335.29128880295849</v>
      </c>
      <c r="C31">
        <f t="shared" si="3"/>
        <v>335.29128880295849</v>
      </c>
      <c r="D31">
        <f t="shared" si="4"/>
        <v>335.29128880295849</v>
      </c>
      <c r="E31">
        <f t="shared" si="5"/>
        <v>361.11391919470907</v>
      </c>
      <c r="F31">
        <f t="shared" si="6"/>
        <v>370.08774110389908</v>
      </c>
      <c r="G31">
        <f t="shared" si="7"/>
        <v>379.02493516856168</v>
      </c>
      <c r="K31">
        <v>1022.924933205779</v>
      </c>
      <c r="L31">
        <v>1022.924933205779</v>
      </c>
      <c r="M31">
        <v>1022.924933205779</v>
      </c>
      <c r="N31">
        <v>1101.7060210264119</v>
      </c>
      <c r="O31">
        <v>1129.0838458718802</v>
      </c>
      <c r="P31" s="20">
        <v>1156.3499244934892</v>
      </c>
    </row>
    <row r="32" spans="1:16" ht="16.5" thickTop="1" thickBot="1" x14ac:dyDescent="0.3">
      <c r="A32">
        <v>2034</v>
      </c>
      <c r="B32">
        <f t="shared" si="2"/>
        <v>332.39768908530129</v>
      </c>
      <c r="C32">
        <f t="shared" si="3"/>
        <v>332.39768908530129</v>
      </c>
      <c r="D32">
        <f t="shared" si="4"/>
        <v>332.39768908530129</v>
      </c>
      <c r="E32">
        <f t="shared" si="5"/>
        <v>356.75520569595977</v>
      </c>
      <c r="F32">
        <f t="shared" si="6"/>
        <v>366.53484018475041</v>
      </c>
      <c r="G32">
        <f t="shared" si="7"/>
        <v>376.31447467354116</v>
      </c>
      <c r="K32">
        <v>1014.0969815209138</v>
      </c>
      <c r="L32">
        <v>1014.0969815209138</v>
      </c>
      <c r="M32">
        <v>1014.0969815209138</v>
      </c>
      <c r="N32">
        <v>1088.4082203871847</v>
      </c>
      <c r="O32">
        <v>1118.2444621575521</v>
      </c>
      <c r="P32" s="20">
        <v>1148.0807039279196</v>
      </c>
    </row>
    <row r="33" spans="1:16" ht="16.5" thickTop="1" thickBot="1" x14ac:dyDescent="0.3">
      <c r="A33">
        <v>2035</v>
      </c>
      <c r="B33">
        <f t="shared" si="2"/>
        <v>329.50408936764416</v>
      </c>
      <c r="C33">
        <f t="shared" si="3"/>
        <v>329.50408936764416</v>
      </c>
      <c r="D33">
        <f t="shared" si="4"/>
        <v>329.50408936764416</v>
      </c>
      <c r="E33">
        <f t="shared" si="5"/>
        <v>352.43312004173765</v>
      </c>
      <c r="F33">
        <f t="shared" si="6"/>
        <v>363.01856711012903</v>
      </c>
      <c r="G33">
        <f t="shared" si="7"/>
        <v>373.60401417852052</v>
      </c>
      <c r="K33">
        <v>1005.2690298360486</v>
      </c>
      <c r="L33">
        <v>1005.2690298360486</v>
      </c>
      <c r="M33">
        <v>1005.2690298360486</v>
      </c>
      <c r="N33">
        <v>1075.2221659718164</v>
      </c>
      <c r="O33">
        <v>1107.5168246670828</v>
      </c>
      <c r="P33" s="20">
        <v>1139.8114833623495</v>
      </c>
    </row>
    <row r="34" spans="1:16" ht="16.5" thickTop="1" thickBot="1" x14ac:dyDescent="0.3">
      <c r="A34">
        <v>2036</v>
      </c>
      <c r="B34">
        <f t="shared" si="2"/>
        <v>326.57386180545967</v>
      </c>
      <c r="C34">
        <f t="shared" si="3"/>
        <v>326.57386180545967</v>
      </c>
      <c r="D34">
        <f t="shared" si="4"/>
        <v>326.57386180545967</v>
      </c>
      <c r="E34">
        <f t="shared" si="5"/>
        <v>349.17324187880735</v>
      </c>
      <c r="F34">
        <f t="shared" si="6"/>
        <v>360.01508385888997</v>
      </c>
      <c r="G34">
        <f t="shared" si="7"/>
        <v>370.89355368349976</v>
      </c>
      <c r="K34">
        <v>996.32933192732423</v>
      </c>
      <c r="L34">
        <v>996.32933192732423</v>
      </c>
      <c r="M34">
        <v>996.32933192732423</v>
      </c>
      <c r="N34">
        <v>1065.2767520483603</v>
      </c>
      <c r="O34">
        <v>1098.3536343106405</v>
      </c>
      <c r="P34" s="20">
        <v>1131.5422627967794</v>
      </c>
    </row>
    <row r="35" spans="1:16" ht="16.5" thickTop="1" thickBot="1" x14ac:dyDescent="0.3">
      <c r="A35">
        <v>2037</v>
      </c>
      <c r="B35">
        <f t="shared" si="2"/>
        <v>323.68026208780253</v>
      </c>
      <c r="C35">
        <f t="shared" si="3"/>
        <v>323.68026208780253</v>
      </c>
      <c r="D35">
        <f t="shared" si="4"/>
        <v>323.68026208780253</v>
      </c>
      <c r="E35">
        <f t="shared" si="5"/>
        <v>345.91336371587715</v>
      </c>
      <c r="F35">
        <f t="shared" si="6"/>
        <v>357.04822845217814</v>
      </c>
      <c r="G35">
        <f t="shared" si="7"/>
        <v>368.18309318847918</v>
      </c>
      <c r="K35">
        <v>987.50138024245905</v>
      </c>
      <c r="L35">
        <v>987.50138024245905</v>
      </c>
      <c r="M35">
        <v>987.50138024245905</v>
      </c>
      <c r="N35">
        <v>1055.3313381249047</v>
      </c>
      <c r="O35">
        <v>1089.3021901780569</v>
      </c>
      <c r="P35" s="20">
        <v>1123.2730422312095</v>
      </c>
    </row>
    <row r="36" spans="1:16" ht="16.5" thickTop="1" thickBot="1" x14ac:dyDescent="0.3">
      <c r="A36">
        <v>2038</v>
      </c>
      <c r="B36">
        <f t="shared" si="2"/>
        <v>320.78666237014534</v>
      </c>
      <c r="C36">
        <f t="shared" si="3"/>
        <v>320.78666237014534</v>
      </c>
      <c r="D36">
        <f t="shared" si="4"/>
        <v>320.78666237014534</v>
      </c>
      <c r="E36">
        <f t="shared" si="5"/>
        <v>342.65348555294696</v>
      </c>
      <c r="F36">
        <f t="shared" si="6"/>
        <v>354.04474520093902</v>
      </c>
      <c r="G36">
        <f t="shared" si="7"/>
        <v>365.43600484893125</v>
      </c>
      <c r="K36">
        <v>978.67342855759364</v>
      </c>
      <c r="L36">
        <v>978.67342855759364</v>
      </c>
      <c r="M36">
        <v>978.67342855759364</v>
      </c>
      <c r="N36">
        <v>1045.3859242014489</v>
      </c>
      <c r="O36">
        <v>1080.1389998216146</v>
      </c>
      <c r="P36" s="20">
        <v>1114.8920754417804</v>
      </c>
    </row>
    <row r="37" spans="1:16" ht="16.5" thickTop="1" thickBot="1" x14ac:dyDescent="0.3">
      <c r="A37">
        <v>2039</v>
      </c>
      <c r="B37">
        <f t="shared" si="2"/>
        <v>317.8930626524882</v>
      </c>
      <c r="C37">
        <f t="shared" si="3"/>
        <v>317.8930626524882</v>
      </c>
      <c r="D37">
        <f t="shared" si="4"/>
        <v>317.8930626524882</v>
      </c>
      <c r="E37">
        <f t="shared" si="5"/>
        <v>339.39360739001671</v>
      </c>
      <c r="F37">
        <f t="shared" si="6"/>
        <v>351.0778897942273</v>
      </c>
      <c r="G37">
        <f t="shared" si="7"/>
        <v>362.72554435391061</v>
      </c>
      <c r="K37">
        <v>969.84547687272845</v>
      </c>
      <c r="L37">
        <v>969.84547687272845</v>
      </c>
      <c r="M37">
        <v>969.84547687272845</v>
      </c>
      <c r="N37">
        <v>1035.4405102779931</v>
      </c>
      <c r="O37">
        <v>1071.0875556890312</v>
      </c>
      <c r="P37" s="20">
        <v>1106.6228548762103</v>
      </c>
    </row>
    <row r="38" spans="1:16" ht="16.5" thickTop="1" thickBot="1" x14ac:dyDescent="0.3">
      <c r="A38">
        <v>2040</v>
      </c>
      <c r="B38">
        <f t="shared" si="2"/>
        <v>314.96283509030371</v>
      </c>
      <c r="C38">
        <f t="shared" si="3"/>
        <v>314.96283509030371</v>
      </c>
      <c r="D38">
        <f t="shared" si="4"/>
        <v>314.96283509030371</v>
      </c>
      <c r="E38">
        <f t="shared" si="5"/>
        <v>336.13372922708652</v>
      </c>
      <c r="F38">
        <f t="shared" si="6"/>
        <v>348.07440654298819</v>
      </c>
      <c r="G38">
        <f t="shared" si="7"/>
        <v>360.01508385888997</v>
      </c>
      <c r="K38">
        <v>960.90577896400418</v>
      </c>
      <c r="L38">
        <v>960.90577896400418</v>
      </c>
      <c r="M38">
        <v>960.90577896400418</v>
      </c>
      <c r="N38">
        <v>1025.4950963545373</v>
      </c>
      <c r="O38">
        <v>1061.9243653325889</v>
      </c>
      <c r="P38" s="20">
        <v>1098.3536343106405</v>
      </c>
    </row>
    <row r="39" spans="1:16" ht="16.5" thickTop="1" thickBot="1" x14ac:dyDescent="0.3">
      <c r="A39">
        <v>2041</v>
      </c>
      <c r="B39">
        <f t="shared" si="2"/>
        <v>312.06923537264652</v>
      </c>
      <c r="C39">
        <f t="shared" si="3"/>
        <v>312.06923537264652</v>
      </c>
      <c r="D39">
        <f t="shared" si="4"/>
        <v>312.06923537264652</v>
      </c>
      <c r="E39">
        <f t="shared" si="5"/>
        <v>332.87385106415627</v>
      </c>
      <c r="F39">
        <f t="shared" si="6"/>
        <v>345.10755113627647</v>
      </c>
      <c r="G39">
        <f t="shared" si="7"/>
        <v>357.30462336386933</v>
      </c>
      <c r="K39">
        <v>952.07782727913889</v>
      </c>
      <c r="L39">
        <v>952.07782727913889</v>
      </c>
      <c r="M39">
        <v>952.07782727913889</v>
      </c>
      <c r="N39">
        <v>1015.5496824310815</v>
      </c>
      <c r="O39">
        <v>1052.8729212000055</v>
      </c>
      <c r="P39" s="20">
        <v>1090.0844137450704</v>
      </c>
    </row>
    <row r="40" spans="1:16" ht="16.5" thickTop="1" thickBot="1" x14ac:dyDescent="0.3">
      <c r="A40">
        <v>2042</v>
      </c>
      <c r="B40">
        <f t="shared" si="2"/>
        <v>309.17563565498938</v>
      </c>
      <c r="C40">
        <f t="shared" si="3"/>
        <v>309.17563565498938</v>
      </c>
      <c r="D40">
        <f t="shared" si="4"/>
        <v>309.17563565498938</v>
      </c>
      <c r="E40">
        <f t="shared" si="5"/>
        <v>329.61397290122596</v>
      </c>
      <c r="F40">
        <f t="shared" si="6"/>
        <v>342.10406788503735</v>
      </c>
      <c r="G40">
        <f t="shared" si="7"/>
        <v>354.59416286884868</v>
      </c>
      <c r="K40">
        <v>943.2498755942737</v>
      </c>
      <c r="L40">
        <v>943.2498755942737</v>
      </c>
      <c r="M40">
        <v>943.2498755942737</v>
      </c>
      <c r="N40">
        <v>1005.6042685076256</v>
      </c>
      <c r="O40">
        <v>1043.709730843563</v>
      </c>
      <c r="P40" s="20">
        <v>1081.8151931795005</v>
      </c>
    </row>
    <row r="41" spans="1:16" ht="16.5" thickTop="1" thickBot="1" x14ac:dyDescent="0.3">
      <c r="A41">
        <v>2043</v>
      </c>
      <c r="B41">
        <f t="shared" si="2"/>
        <v>306.28203593733218</v>
      </c>
      <c r="C41">
        <f t="shared" si="3"/>
        <v>306.28203593733218</v>
      </c>
      <c r="D41">
        <f t="shared" si="4"/>
        <v>306.28203593733218</v>
      </c>
      <c r="E41">
        <f t="shared" si="5"/>
        <v>326.35409473829583</v>
      </c>
      <c r="F41">
        <f t="shared" si="6"/>
        <v>339.13721247832552</v>
      </c>
      <c r="G41">
        <f t="shared" si="7"/>
        <v>351.88370237382799</v>
      </c>
      <c r="K41">
        <v>934.42192390940841</v>
      </c>
      <c r="L41">
        <v>934.42192390940841</v>
      </c>
      <c r="M41">
        <v>934.42192390940841</v>
      </c>
      <c r="N41">
        <v>995.65885458416994</v>
      </c>
      <c r="O41">
        <v>1034.6582867109796</v>
      </c>
      <c r="P41" s="20">
        <v>1073.5459726139304</v>
      </c>
    </row>
    <row r="42" spans="1:16" ht="16.5" thickTop="1" thickBot="1" x14ac:dyDescent="0.3">
      <c r="A42">
        <v>2044</v>
      </c>
      <c r="B42">
        <f t="shared" si="2"/>
        <v>303.38843621967499</v>
      </c>
      <c r="C42">
        <f t="shared" si="3"/>
        <v>303.38843621967499</v>
      </c>
      <c r="D42">
        <f t="shared" si="4"/>
        <v>303.38843621967499</v>
      </c>
      <c r="E42">
        <f t="shared" si="5"/>
        <v>323.09421657536558</v>
      </c>
      <c r="F42">
        <f t="shared" si="6"/>
        <v>336.13372922708652</v>
      </c>
      <c r="G42">
        <f t="shared" si="7"/>
        <v>349.17324187880735</v>
      </c>
      <c r="K42">
        <v>925.59397222454311</v>
      </c>
      <c r="L42">
        <v>925.59397222454311</v>
      </c>
      <c r="M42">
        <v>925.59397222454311</v>
      </c>
      <c r="N42">
        <v>985.71344066071413</v>
      </c>
      <c r="O42">
        <v>1025.4950963545373</v>
      </c>
      <c r="P42" s="20">
        <v>1065.2767520483603</v>
      </c>
    </row>
    <row r="43" spans="1:16" ht="16.5" thickTop="1" thickBot="1" x14ac:dyDescent="0.3">
      <c r="A43">
        <v>2045</v>
      </c>
      <c r="B43">
        <f t="shared" si="2"/>
        <v>300.4582086574905</v>
      </c>
      <c r="C43">
        <f t="shared" si="3"/>
        <v>300.4582086574905</v>
      </c>
      <c r="D43">
        <f t="shared" si="4"/>
        <v>300.4582086574905</v>
      </c>
      <c r="E43">
        <f t="shared" si="5"/>
        <v>319.87096625696262</v>
      </c>
      <c r="F43">
        <f t="shared" si="6"/>
        <v>333.1302459758474</v>
      </c>
      <c r="G43">
        <f t="shared" si="7"/>
        <v>346.42615353925947</v>
      </c>
      <c r="K43">
        <v>916.65427431581872</v>
      </c>
      <c r="L43">
        <v>916.65427431581872</v>
      </c>
      <c r="M43">
        <v>916.65427431581872</v>
      </c>
      <c r="N43">
        <v>975.87977296111728</v>
      </c>
      <c r="O43">
        <v>1016.3319059980948</v>
      </c>
      <c r="P43" s="20">
        <v>1056.8957852589315</v>
      </c>
    </row>
    <row r="44" spans="1:16" ht="16.5" thickTop="1" thickBot="1" x14ac:dyDescent="0.3">
      <c r="A44">
        <v>2046</v>
      </c>
      <c r="B44">
        <f t="shared" si="2"/>
        <v>297.56460893983336</v>
      </c>
      <c r="C44">
        <f t="shared" si="3"/>
        <v>297.56460893983336</v>
      </c>
      <c r="D44">
        <f t="shared" si="4"/>
        <v>297.56460893983336</v>
      </c>
      <c r="E44">
        <f t="shared" si="5"/>
        <v>316.61108809403243</v>
      </c>
      <c r="F44">
        <f t="shared" si="6"/>
        <v>330.16339056913563</v>
      </c>
      <c r="G44">
        <f t="shared" si="7"/>
        <v>343.71569304423878</v>
      </c>
      <c r="K44">
        <v>907.82632263095354</v>
      </c>
      <c r="L44">
        <v>907.82632263095354</v>
      </c>
      <c r="M44">
        <v>907.82632263095354</v>
      </c>
      <c r="N44">
        <v>965.93435903766158</v>
      </c>
      <c r="O44">
        <v>1007.2804618655115</v>
      </c>
      <c r="P44" s="20">
        <v>1048.6265646933614</v>
      </c>
    </row>
    <row r="45" spans="1:16" ht="16.5" thickTop="1" thickBot="1" x14ac:dyDescent="0.3">
      <c r="A45">
        <v>2047</v>
      </c>
      <c r="B45">
        <f t="shared" si="2"/>
        <v>294.67100922217622</v>
      </c>
      <c r="C45">
        <f t="shared" si="3"/>
        <v>294.67100922217622</v>
      </c>
      <c r="D45">
        <f t="shared" si="4"/>
        <v>294.67100922217622</v>
      </c>
      <c r="E45">
        <f t="shared" si="5"/>
        <v>313.35120993110218</v>
      </c>
      <c r="F45">
        <f t="shared" si="6"/>
        <v>327.15990731789657</v>
      </c>
      <c r="G45">
        <f t="shared" si="7"/>
        <v>341.00523254921819</v>
      </c>
      <c r="K45">
        <v>898.99837094608836</v>
      </c>
      <c r="L45">
        <v>898.99837094608836</v>
      </c>
      <c r="M45">
        <v>898.99837094608836</v>
      </c>
      <c r="N45">
        <v>955.98894511420576</v>
      </c>
      <c r="O45">
        <v>998.11727150906916</v>
      </c>
      <c r="P45" s="20">
        <v>1040.3573441277915</v>
      </c>
    </row>
    <row r="46" spans="1:16" ht="16.5" thickTop="1" thickBot="1" x14ac:dyDescent="0.3">
      <c r="A46">
        <v>2048</v>
      </c>
      <c r="B46">
        <f t="shared" si="2"/>
        <v>291.77740950451903</v>
      </c>
      <c r="C46">
        <f t="shared" si="3"/>
        <v>291.77740950451903</v>
      </c>
      <c r="D46">
        <f t="shared" si="4"/>
        <v>291.77740950451903</v>
      </c>
      <c r="E46">
        <f t="shared" si="5"/>
        <v>310.09133176817204</v>
      </c>
      <c r="F46">
        <f t="shared" si="6"/>
        <v>324.1930519111848</v>
      </c>
      <c r="G46">
        <f t="shared" si="7"/>
        <v>338.29477205419755</v>
      </c>
      <c r="K46">
        <v>890.17041926122306</v>
      </c>
      <c r="L46">
        <v>890.17041926122306</v>
      </c>
      <c r="M46">
        <v>890.17041926122306</v>
      </c>
      <c r="N46">
        <v>946.04353119075006</v>
      </c>
      <c r="O46">
        <v>989.0658273764858</v>
      </c>
      <c r="P46" s="20">
        <v>1032.0881235622214</v>
      </c>
    </row>
    <row r="47" spans="1:16" ht="16.5" thickTop="1" thickBot="1" x14ac:dyDescent="0.3">
      <c r="A47">
        <v>2049</v>
      </c>
      <c r="B47">
        <f t="shared" si="2"/>
        <v>288.84718194233454</v>
      </c>
      <c r="C47">
        <f t="shared" si="3"/>
        <v>288.84718194233454</v>
      </c>
      <c r="D47">
        <f t="shared" si="4"/>
        <v>288.84718194233454</v>
      </c>
      <c r="E47">
        <f t="shared" si="5"/>
        <v>306.83145360524173</v>
      </c>
      <c r="F47">
        <f t="shared" si="6"/>
        <v>321.18956865994562</v>
      </c>
      <c r="G47">
        <f t="shared" si="7"/>
        <v>335.58431155917691</v>
      </c>
      <c r="K47">
        <v>881.23072135249879</v>
      </c>
      <c r="L47">
        <v>881.23072135249879</v>
      </c>
      <c r="M47">
        <v>881.23072135249879</v>
      </c>
      <c r="N47">
        <v>936.09811726729424</v>
      </c>
      <c r="O47">
        <v>979.90263702004324</v>
      </c>
      <c r="P47" s="20">
        <v>1023.8189029966516</v>
      </c>
    </row>
    <row r="48" spans="1:16" ht="15.75" thickTop="1" x14ac:dyDescent="0.25">
      <c r="A48">
        <v>2050</v>
      </c>
      <c r="B48">
        <f t="shared" si="2"/>
        <v>285.9535822246774</v>
      </c>
      <c r="C48">
        <f t="shared" si="3"/>
        <v>285.9535822246774</v>
      </c>
      <c r="D48">
        <f t="shared" si="4"/>
        <v>285.9535822246774</v>
      </c>
      <c r="E48">
        <f t="shared" si="5"/>
        <v>303.57157544231148</v>
      </c>
      <c r="F48">
        <f t="shared" si="6"/>
        <v>318.22271325323385</v>
      </c>
      <c r="G48">
        <f t="shared" si="7"/>
        <v>332.87385106415627</v>
      </c>
      <c r="K48">
        <v>872.40276966763349</v>
      </c>
      <c r="L48">
        <v>872.40276966763349</v>
      </c>
      <c r="M48">
        <v>872.40276966763349</v>
      </c>
      <c r="N48">
        <v>926.15270334383831</v>
      </c>
      <c r="O48">
        <v>970.85119288745989</v>
      </c>
      <c r="P48" s="20">
        <v>1015.5496824310815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36</v>
      </c>
      <c r="B1">
        <f>14561/6.5</f>
        <v>2240.1538461538462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selection activeCell="D32" sqref="D32"/>
    </sheetView>
  </sheetViews>
  <sheetFormatPr defaultRowHeight="15" x14ac:dyDescent="0.25"/>
  <sheetData>
    <row r="1" spans="1:15" x14ac:dyDescent="0.25">
      <c r="A1" t="s">
        <v>62</v>
      </c>
      <c r="B1" t="s">
        <v>63</v>
      </c>
      <c r="C1" t="s">
        <v>54</v>
      </c>
      <c r="D1" t="s">
        <v>55</v>
      </c>
      <c r="H1" t="s">
        <v>127</v>
      </c>
    </row>
    <row r="2" spans="1:15" x14ac:dyDescent="0.25">
      <c r="A2">
        <v>2020</v>
      </c>
      <c r="B2">
        <f>1.1*875*L2</f>
        <v>990.41250000000002</v>
      </c>
      <c r="C2">
        <f>$L$3*1100*$L$2</f>
        <v>1245.0899999999999</v>
      </c>
      <c r="D2">
        <f>L2*L3*1450</f>
        <v>1641.2549999999999</v>
      </c>
      <c r="G2">
        <v>2020</v>
      </c>
      <c r="H2">
        <v>0.57699999999999996</v>
      </c>
      <c r="K2" t="s">
        <v>128</v>
      </c>
      <c r="L2">
        <v>1.0289999999999999</v>
      </c>
      <c r="O2" t="s">
        <v>138</v>
      </c>
    </row>
    <row r="3" spans="1:15" x14ac:dyDescent="0.25">
      <c r="A3">
        <v>2021</v>
      </c>
      <c r="B3">
        <v>749.45555555555552</v>
      </c>
      <c r="C3">
        <v>770.23333333333335</v>
      </c>
      <c r="D3">
        <v>791.13333333333333</v>
      </c>
      <c r="G3">
        <v>2025</v>
      </c>
      <c r="H3">
        <v>0.58699999999999997</v>
      </c>
      <c r="K3" t="s">
        <v>129</v>
      </c>
      <c r="L3">
        <v>1.1000000000000001</v>
      </c>
    </row>
    <row r="4" spans="1:15" x14ac:dyDescent="0.25">
      <c r="A4">
        <v>2022</v>
      </c>
      <c r="B4">
        <v>742.13333333333333</v>
      </c>
      <c r="C4">
        <v>764.80000000000007</v>
      </c>
      <c r="D4">
        <v>787.6</v>
      </c>
      <c r="G4">
        <v>2030</v>
      </c>
      <c r="H4">
        <v>0.622</v>
      </c>
    </row>
    <row r="5" spans="1:15" x14ac:dyDescent="0.25">
      <c r="A5">
        <v>2023</v>
      </c>
      <c r="B5">
        <v>734.81111111111113</v>
      </c>
      <c r="C5">
        <v>759.36666666666667</v>
      </c>
      <c r="D5">
        <v>784.06666666666672</v>
      </c>
      <c r="G5">
        <v>2035</v>
      </c>
    </row>
    <row r="6" spans="1:15" x14ac:dyDescent="0.25">
      <c r="A6">
        <v>2024</v>
      </c>
      <c r="B6">
        <v>727.48888888888894</v>
      </c>
      <c r="C6">
        <v>753.93333333333339</v>
      </c>
      <c r="D6">
        <v>780.53333333333342</v>
      </c>
      <c r="G6">
        <v>2040</v>
      </c>
      <c r="H6">
        <v>0.65300000000000002</v>
      </c>
    </row>
    <row r="7" spans="1:15" x14ac:dyDescent="0.25">
      <c r="A7">
        <v>2025</v>
      </c>
      <c r="B7">
        <v>720.16666666666674</v>
      </c>
      <c r="C7">
        <f>L2*L3*800</f>
        <v>905.52</v>
      </c>
      <c r="D7">
        <v>777</v>
      </c>
      <c r="G7">
        <v>2045</v>
      </c>
    </row>
    <row r="8" spans="1:15" x14ac:dyDescent="0.25">
      <c r="A8">
        <v>2026</v>
      </c>
      <c r="B8">
        <v>712.84444444444443</v>
      </c>
      <c r="C8">
        <v>743.06666666666672</v>
      </c>
      <c r="D8">
        <v>773.4666666666667</v>
      </c>
      <c r="G8">
        <v>2050</v>
      </c>
      <c r="H8">
        <v>0.69899999999999995</v>
      </c>
    </row>
    <row r="9" spans="1:15" x14ac:dyDescent="0.25">
      <c r="A9">
        <v>2027</v>
      </c>
      <c r="B9">
        <v>705.52222222222224</v>
      </c>
      <c r="C9">
        <v>737.63333333333344</v>
      </c>
      <c r="D9">
        <v>769.93333333333339</v>
      </c>
    </row>
    <row r="10" spans="1:15" x14ac:dyDescent="0.25">
      <c r="A10">
        <v>2028</v>
      </c>
      <c r="B10">
        <v>698.2</v>
      </c>
      <c r="C10">
        <v>732.2</v>
      </c>
      <c r="D10">
        <v>766.40000000000009</v>
      </c>
    </row>
    <row r="11" spans="1:15" x14ac:dyDescent="0.25">
      <c r="A11">
        <v>2029</v>
      </c>
      <c r="B11">
        <v>690.87777777777785</v>
      </c>
      <c r="C11">
        <v>726.76666666666677</v>
      </c>
      <c r="D11">
        <v>762.86666666666679</v>
      </c>
    </row>
    <row r="12" spans="1:15" x14ac:dyDescent="0.25">
      <c r="A12">
        <v>2030</v>
      </c>
      <c r="B12">
        <v>683.55555555555566</v>
      </c>
      <c r="C12">
        <f>500*L2*L3</f>
        <v>565.95000000000005</v>
      </c>
      <c r="D12">
        <v>759.33333333333337</v>
      </c>
    </row>
    <row r="13" spans="1:15" x14ac:dyDescent="0.25">
      <c r="A13">
        <v>2031</v>
      </c>
      <c r="B13">
        <v>676.23333333333335</v>
      </c>
      <c r="C13">
        <v>715.90000000000009</v>
      </c>
      <c r="D13">
        <v>755.80000000000007</v>
      </c>
    </row>
    <row r="14" spans="1:15" x14ac:dyDescent="0.25">
      <c r="A14">
        <v>2032</v>
      </c>
      <c r="B14">
        <v>668.91111111111115</v>
      </c>
      <c r="C14">
        <v>710.4666666666667</v>
      </c>
      <c r="D14">
        <v>752.26666666666677</v>
      </c>
    </row>
    <row r="15" spans="1:15" x14ac:dyDescent="0.25">
      <c r="A15">
        <v>2033</v>
      </c>
      <c r="B15">
        <v>661.58888888888896</v>
      </c>
      <c r="C15">
        <v>705.03333333333342</v>
      </c>
      <c r="D15">
        <v>748.73333333333335</v>
      </c>
    </row>
    <row r="16" spans="1:15" x14ac:dyDescent="0.25">
      <c r="A16">
        <v>2034</v>
      </c>
      <c r="B16">
        <v>654.26666666666665</v>
      </c>
      <c r="C16">
        <v>699.60000000000014</v>
      </c>
      <c r="D16">
        <v>745.2</v>
      </c>
    </row>
    <row r="17" spans="1:4" x14ac:dyDescent="0.25">
      <c r="A17">
        <v>2035</v>
      </c>
      <c r="B17">
        <v>646.94444444444446</v>
      </c>
      <c r="C17">
        <v>694.16666666666674</v>
      </c>
      <c r="D17">
        <v>741.66666666666674</v>
      </c>
    </row>
    <row r="18" spans="1:4" x14ac:dyDescent="0.25">
      <c r="A18">
        <v>2036</v>
      </c>
      <c r="B18">
        <v>639.62222222222226</v>
      </c>
      <c r="C18">
        <v>688.73333333333335</v>
      </c>
      <c r="D18">
        <v>738.13333333333344</v>
      </c>
    </row>
    <row r="19" spans="1:4" x14ac:dyDescent="0.25">
      <c r="A19">
        <v>2037</v>
      </c>
      <c r="B19">
        <v>632.30000000000007</v>
      </c>
      <c r="C19">
        <v>683.30000000000007</v>
      </c>
      <c r="D19">
        <v>734.60000000000014</v>
      </c>
    </row>
    <row r="20" spans="1:4" x14ac:dyDescent="0.25">
      <c r="A20">
        <v>2038</v>
      </c>
      <c r="B20">
        <v>624.97777777777787</v>
      </c>
      <c r="C20">
        <v>677.86666666666679</v>
      </c>
      <c r="D20">
        <v>731.06666666666672</v>
      </c>
    </row>
    <row r="21" spans="1:4" x14ac:dyDescent="0.25">
      <c r="A21">
        <v>2039</v>
      </c>
      <c r="B21">
        <v>617.65555555555557</v>
      </c>
      <c r="C21">
        <v>672.43333333333339</v>
      </c>
      <c r="D21">
        <v>727.53333333333342</v>
      </c>
    </row>
    <row r="22" spans="1:4" x14ac:dyDescent="0.25">
      <c r="A22">
        <v>2040</v>
      </c>
      <c r="B22">
        <v>610.33333333333337</v>
      </c>
      <c r="C22">
        <f>400*L2*L3</f>
        <v>452.76</v>
      </c>
      <c r="D22">
        <v>724.00000000000011</v>
      </c>
    </row>
    <row r="23" spans="1:4" x14ac:dyDescent="0.25">
      <c r="A23">
        <v>2041</v>
      </c>
      <c r="B23">
        <v>603.01111111111118</v>
      </c>
      <c r="C23">
        <v>661.56666666666683</v>
      </c>
      <c r="D23">
        <v>720.46666666666681</v>
      </c>
    </row>
    <row r="24" spans="1:4" x14ac:dyDescent="0.25">
      <c r="A24">
        <v>2042</v>
      </c>
      <c r="B24">
        <v>595.68888888888898</v>
      </c>
      <c r="C24">
        <v>656.13333333333344</v>
      </c>
      <c r="D24">
        <v>716.93333333333339</v>
      </c>
    </row>
    <row r="25" spans="1:4" x14ac:dyDescent="0.25">
      <c r="A25">
        <v>2043</v>
      </c>
      <c r="B25">
        <v>588.36666666666679</v>
      </c>
      <c r="C25">
        <v>650.70000000000005</v>
      </c>
      <c r="D25">
        <v>713.40000000000009</v>
      </c>
    </row>
    <row r="26" spans="1:4" x14ac:dyDescent="0.25">
      <c r="A26">
        <v>2044</v>
      </c>
      <c r="B26">
        <v>581.04444444444448</v>
      </c>
      <c r="C26">
        <v>645.26666666666677</v>
      </c>
      <c r="D26">
        <v>709.86666666666679</v>
      </c>
    </row>
    <row r="27" spans="1:4" x14ac:dyDescent="0.25">
      <c r="A27">
        <v>2045</v>
      </c>
      <c r="B27">
        <v>573.72222222222229</v>
      </c>
      <c r="C27">
        <v>639.83333333333348</v>
      </c>
      <c r="D27">
        <v>706.33333333333348</v>
      </c>
    </row>
    <row r="28" spans="1:4" x14ac:dyDescent="0.25">
      <c r="A28">
        <v>2046</v>
      </c>
      <c r="B28">
        <v>566.40000000000009</v>
      </c>
      <c r="C28">
        <v>634.40000000000009</v>
      </c>
      <c r="D28">
        <v>702.80000000000007</v>
      </c>
    </row>
    <row r="29" spans="1:4" x14ac:dyDescent="0.25">
      <c r="A29">
        <v>2047</v>
      </c>
      <c r="B29">
        <v>559.07777777777778</v>
      </c>
      <c r="C29">
        <v>628.96666666666681</v>
      </c>
      <c r="D29">
        <v>699.26666666666677</v>
      </c>
    </row>
    <row r="30" spans="1:4" x14ac:dyDescent="0.25">
      <c r="A30">
        <v>2048</v>
      </c>
      <c r="B30">
        <v>551.7555555555557</v>
      </c>
      <c r="C30">
        <v>623.53333333333353</v>
      </c>
      <c r="D30">
        <v>695.73333333333346</v>
      </c>
    </row>
    <row r="31" spans="1:4" x14ac:dyDescent="0.25">
      <c r="A31">
        <v>2049</v>
      </c>
      <c r="B31">
        <v>544.43333333333339</v>
      </c>
      <c r="C31">
        <v>618.10000000000014</v>
      </c>
      <c r="D31">
        <v>692.20000000000016</v>
      </c>
    </row>
    <row r="32" spans="1:4" x14ac:dyDescent="0.25">
      <c r="A32">
        <v>2050</v>
      </c>
      <c r="B32">
        <f>250*L2*L3</f>
        <v>282.97500000000002</v>
      </c>
      <c r="C32">
        <f>275*L2*L3</f>
        <v>311.27249999999998</v>
      </c>
      <c r="D32">
        <f>1.1*350</f>
        <v>385.00000000000006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workbookViewId="0">
      <selection activeCell="N28" sqref="N28"/>
    </sheetView>
  </sheetViews>
  <sheetFormatPr defaultRowHeight="15" x14ac:dyDescent="0.25"/>
  <cols>
    <col min="2" max="2" width="9.140625" customWidth="1"/>
  </cols>
  <sheetData>
    <row r="1" spans="1:23" x14ac:dyDescent="0.25">
      <c r="A1" t="s">
        <v>139</v>
      </c>
      <c r="B1" t="s">
        <v>56</v>
      </c>
      <c r="C1" t="s">
        <v>64</v>
      </c>
      <c r="D1" t="s">
        <v>70</v>
      </c>
      <c r="I1" t="s">
        <v>137</v>
      </c>
      <c r="J1" t="s">
        <v>18</v>
      </c>
      <c r="K1" t="s">
        <v>19</v>
      </c>
      <c r="L1" t="s">
        <v>20</v>
      </c>
      <c r="T1" t="s">
        <v>73</v>
      </c>
    </row>
    <row r="2" spans="1:23" x14ac:dyDescent="0.25">
      <c r="B2">
        <v>120</v>
      </c>
      <c r="C2">
        <f>120/3600</f>
        <v>3.3333333333333333E-2</v>
      </c>
      <c r="D2">
        <f>1/C2</f>
        <v>30</v>
      </c>
      <c r="H2">
        <v>2020</v>
      </c>
      <c r="I2">
        <v>367.23076923076923</v>
      </c>
      <c r="J2">
        <v>622.46153846153845</v>
      </c>
      <c r="K2">
        <v>622.46153846153845</v>
      </c>
      <c r="L2">
        <v>622.46153846153845</v>
      </c>
      <c r="N2">
        <f t="shared" ref="N2:O8" si="0">I2/I$2</f>
        <v>1</v>
      </c>
      <c r="O2">
        <f t="shared" si="0"/>
        <v>1</v>
      </c>
      <c r="P2">
        <f t="shared" ref="P2:Q8" si="1">K2/K$2</f>
        <v>1</v>
      </c>
      <c r="Q2">
        <f t="shared" si="1"/>
        <v>1</v>
      </c>
      <c r="S2">
        <v>2020</v>
      </c>
      <c r="T2">
        <f>$B$12*N2</f>
        <v>546556.72319999989</v>
      </c>
      <c r="U2">
        <f>$C$12*O2</f>
        <v>3272268.8</v>
      </c>
      <c r="V2">
        <f t="shared" ref="V2:W2" si="2">$C$12*P2</f>
        <v>3272268.8</v>
      </c>
      <c r="W2">
        <f t="shared" si="2"/>
        <v>3272268.8</v>
      </c>
    </row>
    <row r="3" spans="1:23" x14ac:dyDescent="0.25">
      <c r="H3">
        <v>2025</v>
      </c>
      <c r="I3">
        <v>358.51334223327041</v>
      </c>
      <c r="J3">
        <v>607.42676191732801</v>
      </c>
      <c r="K3">
        <v>612.28582738016701</v>
      </c>
      <c r="L3">
        <v>617.14489284300612</v>
      </c>
      <c r="N3">
        <f t="shared" si="0"/>
        <v>0.97626171952922403</v>
      </c>
      <c r="O3">
        <f t="shared" si="0"/>
        <v>0.97584625616970644</v>
      </c>
      <c r="P3">
        <f t="shared" si="1"/>
        <v>0.98365246613225055</v>
      </c>
      <c r="Q3">
        <f t="shared" si="1"/>
        <v>0.99145867609479477</v>
      </c>
      <c r="S3">
        <v>2025</v>
      </c>
      <c r="T3">
        <f t="shared" ref="T3:T8" si="3">$B$12*N3</f>
        <v>533582.40641149005</v>
      </c>
      <c r="U3">
        <f t="shared" ref="U3:U8" si="4">$C$12*O3</f>
        <v>3193231.2576609375</v>
      </c>
      <c r="V3">
        <f t="shared" ref="V3:V8" si="5">$C$12*P3</f>
        <v>3218775.2749676201</v>
      </c>
      <c r="W3">
        <f t="shared" ref="W3:W8" si="6">$C$12*Q3</f>
        <v>3244319.2922743028</v>
      </c>
    </row>
    <row r="4" spans="1:23" x14ac:dyDescent="0.25">
      <c r="A4" t="s">
        <v>76</v>
      </c>
      <c r="B4">
        <v>1.92</v>
      </c>
      <c r="H4">
        <v>2030</v>
      </c>
      <c r="I4">
        <v>344.00871580045731</v>
      </c>
      <c r="J4">
        <v>582.39059054153392</v>
      </c>
      <c r="K4">
        <v>595.35536161951256</v>
      </c>
      <c r="L4">
        <v>608.29834316626761</v>
      </c>
      <c r="N4">
        <f t="shared" si="0"/>
        <v>0.93676441252742881</v>
      </c>
      <c r="O4">
        <f t="shared" si="0"/>
        <v>0.93562502187839114</v>
      </c>
      <c r="P4">
        <f t="shared" si="1"/>
        <v>0.95645325025378936</v>
      </c>
      <c r="Q4">
        <f t="shared" si="1"/>
        <v>0.97724647320334646</v>
      </c>
      <c r="S4">
        <v>2030</v>
      </c>
      <c r="T4">
        <f t="shared" si="3"/>
        <v>511994.88772136444</v>
      </c>
      <c r="U4">
        <f t="shared" si="4"/>
        <v>3061616.5675919764</v>
      </c>
      <c r="V4">
        <f t="shared" si="5"/>
        <v>3129772.1294640666</v>
      </c>
      <c r="W4">
        <f t="shared" si="6"/>
        <v>3197813.1441733465</v>
      </c>
    </row>
    <row r="5" spans="1:23" x14ac:dyDescent="0.25">
      <c r="B5" t="s">
        <v>73</v>
      </c>
      <c r="C5" t="s">
        <v>74</v>
      </c>
      <c r="H5">
        <v>2035</v>
      </c>
      <c r="I5">
        <v>329.50408936764416</v>
      </c>
      <c r="J5">
        <v>557.35441916573996</v>
      </c>
      <c r="K5">
        <v>578.40310632763465</v>
      </c>
      <c r="L5">
        <v>599.45179348952934</v>
      </c>
      <c r="N5">
        <f t="shared" si="0"/>
        <v>0.89726710552563349</v>
      </c>
      <c r="O5">
        <f t="shared" si="0"/>
        <v>0.89540378758707606</v>
      </c>
      <c r="P5">
        <f t="shared" si="1"/>
        <v>0.92921902894948716</v>
      </c>
      <c r="Q5">
        <f t="shared" si="1"/>
        <v>0.96303427031189837</v>
      </c>
      <c r="S5">
        <v>2035</v>
      </c>
      <c r="T5">
        <f t="shared" si="3"/>
        <v>490407.36903123878</v>
      </c>
      <c r="U5">
        <f t="shared" si="4"/>
        <v>2930001.8775230162</v>
      </c>
      <c r="V5">
        <f t="shared" si="5"/>
        <v>3040654.4367977036</v>
      </c>
      <c r="W5">
        <f t="shared" si="6"/>
        <v>3151306.996072391</v>
      </c>
    </row>
    <row r="6" spans="1:23" x14ac:dyDescent="0.25">
      <c r="A6" t="s">
        <v>72</v>
      </c>
      <c r="B6">
        <v>125000</v>
      </c>
      <c r="C6">
        <v>81000</v>
      </c>
      <c r="H6">
        <v>2040</v>
      </c>
      <c r="I6">
        <v>314.96283509030371</v>
      </c>
      <c r="J6">
        <v>532.2964582587224</v>
      </c>
      <c r="K6">
        <v>550.66503308012739</v>
      </c>
      <c r="L6">
        <v>569.03360790153249</v>
      </c>
      <c r="N6">
        <f t="shared" si="0"/>
        <v>0.85767005784959116</v>
      </c>
      <c r="O6">
        <f t="shared" si="0"/>
        <v>0.85514754786991987</v>
      </c>
      <c r="P6">
        <f t="shared" si="1"/>
        <v>0.88465712185388734</v>
      </c>
      <c r="Q6">
        <f t="shared" si="1"/>
        <v>0.91416669583785493</v>
      </c>
      <c r="S6">
        <v>2040</v>
      </c>
      <c r="T6">
        <f t="shared" si="3"/>
        <v>468765.3364050269</v>
      </c>
      <c r="U6">
        <f t="shared" si="4"/>
        <v>2798272.6402912452</v>
      </c>
      <c r="V6">
        <f t="shared" si="5"/>
        <v>2894835.8985402733</v>
      </c>
      <c r="W6">
        <f t="shared" si="6"/>
        <v>2991399.1567893024</v>
      </c>
    </row>
    <row r="7" spans="1:23" x14ac:dyDescent="0.25">
      <c r="A7" t="s">
        <v>71</v>
      </c>
      <c r="B7">
        <f>B6*C2/8760*1000</f>
        <v>475.64687975646888</v>
      </c>
      <c r="C7">
        <f>C6*C2/8760*1000</f>
        <v>308.21917808219177</v>
      </c>
      <c r="H7">
        <v>2045</v>
      </c>
      <c r="I7">
        <v>300.4582086574905</v>
      </c>
      <c r="J7">
        <v>507.26028688292837</v>
      </c>
      <c r="K7">
        <v>522.94874936384372</v>
      </c>
      <c r="L7">
        <v>538.61542231353553</v>
      </c>
      <c r="N7">
        <f t="shared" si="0"/>
        <v>0.81817275084779573</v>
      </c>
      <c r="O7">
        <f t="shared" si="0"/>
        <v>0.81492631357860468</v>
      </c>
      <c r="P7">
        <f t="shared" si="1"/>
        <v>0.84013022018412853</v>
      </c>
      <c r="Q7">
        <f t="shared" si="1"/>
        <v>0.86529912136381137</v>
      </c>
      <c r="S7">
        <v>2045</v>
      </c>
      <c r="T7">
        <f t="shared" si="3"/>
        <v>447177.81771490118</v>
      </c>
      <c r="U7">
        <f t="shared" si="4"/>
        <v>2666657.9502222841</v>
      </c>
      <c r="V7">
        <f t="shared" si="5"/>
        <v>2749131.9074456538</v>
      </c>
      <c r="W7">
        <f t="shared" si="6"/>
        <v>2831491.3175062132</v>
      </c>
    </row>
    <row r="8" spans="1:23" x14ac:dyDescent="0.25">
      <c r="A8" t="s">
        <v>75</v>
      </c>
      <c r="B8">
        <f>135.4*10^6*B4</f>
        <v>259968000</v>
      </c>
      <c r="C8">
        <f>525.3*10^6*$B$4</f>
        <v>1008575999.9999999</v>
      </c>
      <c r="H8">
        <v>2050</v>
      </c>
      <c r="I8">
        <v>285.9535822246774</v>
      </c>
      <c r="J8">
        <v>482.2241155071344</v>
      </c>
      <c r="K8">
        <v>495.21067611633646</v>
      </c>
      <c r="L8">
        <v>508.19723672553863</v>
      </c>
      <c r="N8">
        <f t="shared" si="0"/>
        <v>0.77867544384600051</v>
      </c>
      <c r="O8">
        <f t="shared" si="0"/>
        <v>0.7747050792872896</v>
      </c>
      <c r="P8">
        <f t="shared" si="1"/>
        <v>0.79556831308852871</v>
      </c>
      <c r="Q8">
        <f t="shared" si="1"/>
        <v>0.81643154688976793</v>
      </c>
      <c r="S8">
        <v>2050</v>
      </c>
      <c r="T8">
        <f t="shared" si="3"/>
        <v>425590.29902477557</v>
      </c>
      <c r="U8">
        <f t="shared" si="4"/>
        <v>2535043.2601533239</v>
      </c>
      <c r="V8">
        <f t="shared" si="5"/>
        <v>2603313.369188224</v>
      </c>
      <c r="W8">
        <f t="shared" si="6"/>
        <v>2671583.4782231245</v>
      </c>
    </row>
    <row r="9" spans="1:23" x14ac:dyDescent="0.25">
      <c r="A9" t="s">
        <v>17</v>
      </c>
      <c r="B9">
        <f>5.8*10^6*B4</f>
        <v>11136000</v>
      </c>
      <c r="C9">
        <f>27000000*$B$4</f>
        <v>51840000</v>
      </c>
    </row>
    <row r="10" spans="1:23" x14ac:dyDescent="0.25">
      <c r="A10" t="s">
        <v>28</v>
      </c>
      <c r="B10">
        <f>2.1*B4*10^6</f>
        <v>4032000</v>
      </c>
      <c r="C10">
        <f>2.3*B4*10^6</f>
        <v>4415999.9999999991</v>
      </c>
    </row>
    <row r="12" spans="1:23" x14ac:dyDescent="0.25">
      <c r="A12" t="s">
        <v>77</v>
      </c>
      <c r="B12">
        <f>B8/B7</f>
        <v>546556.72319999989</v>
      </c>
      <c r="C12">
        <f>C8/C7</f>
        <v>3272268.8</v>
      </c>
      <c r="E12">
        <f>C8/C$6/1000/B4</f>
        <v>6.4851851851851849</v>
      </c>
    </row>
    <row r="13" spans="1:23" x14ac:dyDescent="0.25">
      <c r="A13" t="s">
        <v>78</v>
      </c>
      <c r="B13">
        <f>B9/B7</f>
        <v>23412.326399999994</v>
      </c>
      <c r="C13">
        <f>C9/C7</f>
        <v>168192</v>
      </c>
      <c r="E13">
        <f>C9/C$6/1000/B4</f>
        <v>0.33333333333333337</v>
      </c>
    </row>
    <row r="14" spans="1:23" x14ac:dyDescent="0.25">
      <c r="A14" t="s">
        <v>79</v>
      </c>
      <c r="B14">
        <f>B10/B7/8760</f>
        <v>0.96767999999999976</v>
      </c>
      <c r="C14">
        <f>C10/C7/8760</f>
        <v>1.6355555555555552</v>
      </c>
      <c r="E14">
        <f>C10/C$6/1000/B4</f>
        <v>2.8395061728395059E-2</v>
      </c>
    </row>
    <row r="16" spans="1:23" x14ac:dyDescent="0.25">
      <c r="A16" t="s">
        <v>80</v>
      </c>
      <c r="B16">
        <v>0.71799999999999997</v>
      </c>
      <c r="C16">
        <v>0.64100000000000001</v>
      </c>
    </row>
    <row r="17" spans="1:3" x14ac:dyDescent="0.25">
      <c r="A17" t="s">
        <v>81</v>
      </c>
      <c r="B17">
        <f>3600/1055/B16</f>
        <v>4.7525379873001627</v>
      </c>
      <c r="C17">
        <f>3600/1055/C16</f>
        <v>5.3234356862426155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B8" sqref="B8"/>
    </sheetView>
  </sheetViews>
  <sheetFormatPr defaultRowHeight="15" x14ac:dyDescent="0.25"/>
  <sheetData>
    <row r="1" spans="1:10" x14ac:dyDescent="0.25">
      <c r="A1" t="s">
        <v>62</v>
      </c>
      <c r="B1" t="s">
        <v>63</v>
      </c>
      <c r="C1" t="s">
        <v>54</v>
      </c>
      <c r="D1" t="s">
        <v>55</v>
      </c>
      <c r="G1" t="s">
        <v>127</v>
      </c>
    </row>
    <row r="2" spans="1:10" x14ac:dyDescent="0.25">
      <c r="A2">
        <v>2020</v>
      </c>
      <c r="B2">
        <f>1170*J2*J3</f>
        <v>1324.3229999999999</v>
      </c>
      <c r="C2">
        <f>1380*J2*J3</f>
        <v>1562.0220000000002</v>
      </c>
      <c r="D2">
        <f>1700*J2*J3</f>
        <v>1924.23</v>
      </c>
      <c r="G2">
        <v>0.5</v>
      </c>
      <c r="I2" t="s">
        <v>128</v>
      </c>
      <c r="J2">
        <v>1.0289999999999999</v>
      </c>
    </row>
    <row r="3" spans="1:10" x14ac:dyDescent="0.25">
      <c r="A3">
        <v>2025</v>
      </c>
      <c r="B3">
        <f>(B$8-B$2)/30*5+B2</f>
        <v>1203.587</v>
      </c>
      <c r="C3">
        <f>(C2+C4)/2</f>
        <v>1443.1725000000001</v>
      </c>
      <c r="D3">
        <f>(D$8-D$2)/30*5+D2</f>
        <v>1784.6289999999999</v>
      </c>
      <c r="I3" t="s">
        <v>129</v>
      </c>
      <c r="J3">
        <v>1.1000000000000001</v>
      </c>
    </row>
    <row r="4" spans="1:10" x14ac:dyDescent="0.25">
      <c r="A4">
        <v>2030</v>
      </c>
      <c r="B4">
        <f t="shared" ref="B4:D7" si="0">(B$8-B$2)/30*5+B3</f>
        <v>1082.8510000000001</v>
      </c>
      <c r="C4">
        <f>J2*J3*1170</f>
        <v>1324.3229999999999</v>
      </c>
      <c r="D4">
        <f t="shared" si="0"/>
        <v>1645.0279999999998</v>
      </c>
    </row>
    <row r="5" spans="1:10" x14ac:dyDescent="0.25">
      <c r="A5">
        <v>2035</v>
      </c>
      <c r="B5">
        <f t="shared" si="0"/>
        <v>962.11500000000012</v>
      </c>
      <c r="C5">
        <f>(C$8-C$4)/20*5+C4</f>
        <v>1233.771</v>
      </c>
      <c r="D5">
        <f t="shared" si="0"/>
        <v>1505.4269999999997</v>
      </c>
    </row>
    <row r="6" spans="1:10" x14ac:dyDescent="0.25">
      <c r="A6">
        <v>2040</v>
      </c>
      <c r="B6">
        <f t="shared" si="0"/>
        <v>841.37900000000013</v>
      </c>
      <c r="C6">
        <f t="shared" ref="C6:C7" si="1">(C$8-C$4)/20*5+C5</f>
        <v>1143.2190000000001</v>
      </c>
      <c r="D6">
        <f t="shared" si="0"/>
        <v>1365.8259999999996</v>
      </c>
    </row>
    <row r="7" spans="1:10" x14ac:dyDescent="0.25">
      <c r="A7">
        <v>2045</v>
      </c>
      <c r="B7">
        <f t="shared" si="0"/>
        <v>720.64300000000014</v>
      </c>
      <c r="C7">
        <f t="shared" si="1"/>
        <v>1052.6670000000001</v>
      </c>
      <c r="D7">
        <f t="shared" si="0"/>
        <v>1226.2249999999995</v>
      </c>
    </row>
    <row r="8" spans="1:10" x14ac:dyDescent="0.25">
      <c r="A8">
        <v>2050</v>
      </c>
      <c r="B8">
        <f>J2*J3*530</f>
        <v>599.90699999999993</v>
      </c>
      <c r="C8">
        <f>J2*J3*850</f>
        <v>962.1149999999999</v>
      </c>
      <c r="D8">
        <f>J2*J3*960</f>
        <v>1086.6239999999998</v>
      </c>
    </row>
    <row r="13" spans="1:10" x14ac:dyDescent="0.25">
      <c r="A13" t="s">
        <v>17</v>
      </c>
    </row>
    <row r="14" spans="1:10" x14ac:dyDescent="0.25">
      <c r="A14" t="s">
        <v>62</v>
      </c>
      <c r="B14" t="s">
        <v>63</v>
      </c>
      <c r="C14" t="s">
        <v>54</v>
      </c>
      <c r="D14" t="s">
        <v>55</v>
      </c>
    </row>
    <row r="15" spans="1:10" x14ac:dyDescent="0.25">
      <c r="A15">
        <v>2020</v>
      </c>
      <c r="C15" s="29">
        <f>69119.22667*J2*J3</f>
        <v>78236.052667772994</v>
      </c>
      <c r="D15" s="29"/>
      <c r="F15" s="29"/>
    </row>
    <row r="16" spans="1:10" x14ac:dyDescent="0.25">
      <c r="A16">
        <v>2025</v>
      </c>
      <c r="C16">
        <f>(C15+C17)/2</f>
        <v>72217.894770251994</v>
      </c>
      <c r="F16" s="29"/>
    </row>
    <row r="17" spans="1:3" x14ac:dyDescent="0.25">
      <c r="A17">
        <v>2030</v>
      </c>
      <c r="C17" s="29">
        <f>J2*J3*58485.49949</f>
        <v>66199.736872730995</v>
      </c>
    </row>
    <row r="18" spans="1:3" x14ac:dyDescent="0.25">
      <c r="A18">
        <v>2035</v>
      </c>
      <c r="C18">
        <f>(C$21-C$17)/20*5+C17</f>
        <v>61686.118449590242</v>
      </c>
    </row>
    <row r="19" spans="1:3" x14ac:dyDescent="0.25">
      <c r="A19">
        <v>2040</v>
      </c>
      <c r="C19">
        <f t="shared" ref="C19:C20" si="2">(C$21-C$17)/20*5+C18</f>
        <v>57172.500026449488</v>
      </c>
    </row>
    <row r="20" spans="1:3" x14ac:dyDescent="0.25">
      <c r="A20">
        <v>2045</v>
      </c>
      <c r="C20">
        <f t="shared" si="2"/>
        <v>52658.881603308735</v>
      </c>
    </row>
    <row r="21" spans="1:3" x14ac:dyDescent="0.25">
      <c r="A21">
        <v>2050</v>
      </c>
      <c r="C21" s="29">
        <f>J2*J3*42534.90872</f>
        <v>48145.263180167996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workbookViewId="0">
      <selection activeCell="C12" sqref="C12"/>
    </sheetView>
  </sheetViews>
  <sheetFormatPr defaultRowHeight="15" x14ac:dyDescent="0.25"/>
  <sheetData>
    <row r="1" spans="1:4" x14ac:dyDescent="0.25">
      <c r="A1" t="s">
        <v>62</v>
      </c>
      <c r="B1" t="s">
        <v>63</v>
      </c>
      <c r="C1" t="s">
        <v>54</v>
      </c>
      <c r="D1" t="s">
        <v>55</v>
      </c>
    </row>
    <row r="2" spans="1:4" x14ac:dyDescent="0.25">
      <c r="A2">
        <v>2010</v>
      </c>
      <c r="B2">
        <v>318</v>
      </c>
      <c r="C2">
        <v>318</v>
      </c>
      <c r="D2">
        <v>318</v>
      </c>
    </row>
    <row r="3" spans="1:4" x14ac:dyDescent="0.25">
      <c r="A3">
        <v>2011</v>
      </c>
      <c r="B3">
        <v>317.67777777777781</v>
      </c>
      <c r="C3">
        <v>317.67777777777781</v>
      </c>
      <c r="D3">
        <v>317.67777777777781</v>
      </c>
    </row>
    <row r="4" spans="1:4" x14ac:dyDescent="0.25">
      <c r="A4">
        <v>2012</v>
      </c>
      <c r="B4">
        <v>317.35555555555555</v>
      </c>
      <c r="C4">
        <v>317.35555555555555</v>
      </c>
      <c r="D4">
        <v>317.35555555555555</v>
      </c>
    </row>
    <row r="5" spans="1:4" x14ac:dyDescent="0.25">
      <c r="A5">
        <v>2013</v>
      </c>
      <c r="B5">
        <v>317.03333333333336</v>
      </c>
      <c r="C5">
        <v>317.03333333333336</v>
      </c>
      <c r="D5">
        <v>317.03333333333336</v>
      </c>
    </row>
    <row r="6" spans="1:4" x14ac:dyDescent="0.25">
      <c r="A6">
        <v>2014</v>
      </c>
      <c r="B6">
        <v>316.71111111111111</v>
      </c>
      <c r="C6">
        <v>316.71111111111111</v>
      </c>
      <c r="D6">
        <v>316.71111111111111</v>
      </c>
    </row>
    <row r="7" spans="1:4" x14ac:dyDescent="0.25">
      <c r="A7">
        <v>2015</v>
      </c>
      <c r="B7">
        <v>316.38888888888891</v>
      </c>
      <c r="C7">
        <v>316.38888888888891</v>
      </c>
      <c r="D7">
        <v>316.38888888888891</v>
      </c>
    </row>
    <row r="8" spans="1:4" x14ac:dyDescent="0.25">
      <c r="A8">
        <v>2016</v>
      </c>
      <c r="B8">
        <v>316.06666666666666</v>
      </c>
      <c r="C8">
        <v>316.06666666666666</v>
      </c>
      <c r="D8">
        <v>316.06666666666666</v>
      </c>
    </row>
    <row r="9" spans="1:4" x14ac:dyDescent="0.25">
      <c r="A9">
        <v>2017</v>
      </c>
      <c r="B9">
        <v>315.74444444444447</v>
      </c>
      <c r="C9">
        <v>315.74444444444447</v>
      </c>
      <c r="D9">
        <v>315.74444444444447</v>
      </c>
    </row>
    <row r="10" spans="1:4" x14ac:dyDescent="0.25">
      <c r="A10">
        <v>2018</v>
      </c>
      <c r="B10">
        <v>315.42222222222222</v>
      </c>
      <c r="C10">
        <v>315.42222222222222</v>
      </c>
      <c r="D10">
        <v>315.42222222222222</v>
      </c>
    </row>
    <row r="11" spans="1:4" x14ac:dyDescent="0.25">
      <c r="A11">
        <v>2019</v>
      </c>
      <c r="B11">
        <v>315.10000000000002</v>
      </c>
      <c r="C11">
        <v>315.10000000000002</v>
      </c>
      <c r="D11">
        <v>315.10000000000002</v>
      </c>
    </row>
    <row r="12" spans="1:4" x14ac:dyDescent="0.25">
      <c r="A12">
        <v>2020</v>
      </c>
      <c r="B12">
        <v>314.77777777777777</v>
      </c>
      <c r="C12">
        <v>314.77777777777777</v>
      </c>
      <c r="D12">
        <v>314.77777777777777</v>
      </c>
    </row>
    <row r="13" spans="1:4" x14ac:dyDescent="0.25">
      <c r="A13">
        <v>2021</v>
      </c>
      <c r="B13">
        <v>314.45555555555558</v>
      </c>
      <c r="C13">
        <v>314.45555555555558</v>
      </c>
      <c r="D13">
        <v>314.45555555555558</v>
      </c>
    </row>
    <row r="14" spans="1:4" x14ac:dyDescent="0.25">
      <c r="A14">
        <v>2022</v>
      </c>
      <c r="B14">
        <v>314.13333333333333</v>
      </c>
      <c r="C14">
        <v>314.13333333333333</v>
      </c>
      <c r="D14">
        <v>314.13333333333333</v>
      </c>
    </row>
    <row r="15" spans="1:4" x14ac:dyDescent="0.25">
      <c r="A15">
        <v>2023</v>
      </c>
      <c r="B15">
        <v>313.81111111111113</v>
      </c>
      <c r="C15">
        <v>313.81111111111113</v>
      </c>
      <c r="D15">
        <v>313.81111111111113</v>
      </c>
    </row>
    <row r="16" spans="1:4" x14ac:dyDescent="0.25">
      <c r="A16">
        <v>2024</v>
      </c>
      <c r="B16">
        <v>313.48888888888888</v>
      </c>
      <c r="C16">
        <v>313.48888888888888</v>
      </c>
      <c r="D16">
        <v>313.48888888888888</v>
      </c>
    </row>
    <row r="17" spans="1:4" x14ac:dyDescent="0.25">
      <c r="A17">
        <v>2025</v>
      </c>
      <c r="B17">
        <v>313.16666666666669</v>
      </c>
      <c r="C17">
        <v>313.16666666666669</v>
      </c>
      <c r="D17">
        <v>313.16666666666669</v>
      </c>
    </row>
    <row r="18" spans="1:4" x14ac:dyDescent="0.25">
      <c r="A18">
        <v>2026</v>
      </c>
      <c r="B18">
        <v>312.84444444444443</v>
      </c>
      <c r="C18">
        <v>312.84444444444443</v>
      </c>
      <c r="D18">
        <v>312.84444444444443</v>
      </c>
    </row>
    <row r="19" spans="1:4" x14ac:dyDescent="0.25">
      <c r="A19">
        <v>2027</v>
      </c>
      <c r="B19">
        <v>312.52222222222224</v>
      </c>
      <c r="C19">
        <v>312.52222222222224</v>
      </c>
      <c r="D19">
        <v>312.52222222222224</v>
      </c>
    </row>
    <row r="20" spans="1:4" x14ac:dyDescent="0.25">
      <c r="A20">
        <v>2028</v>
      </c>
      <c r="B20">
        <v>312.2</v>
      </c>
      <c r="C20">
        <v>312.2</v>
      </c>
      <c r="D20">
        <v>312.2</v>
      </c>
    </row>
    <row r="21" spans="1:4" x14ac:dyDescent="0.25">
      <c r="A21">
        <v>2029</v>
      </c>
      <c r="B21">
        <v>311.87777777777779</v>
      </c>
      <c r="C21">
        <v>311.87777777777779</v>
      </c>
      <c r="D21">
        <v>311.87777777777779</v>
      </c>
    </row>
    <row r="22" spans="1:4" x14ac:dyDescent="0.25">
      <c r="A22">
        <v>2030</v>
      </c>
      <c r="B22">
        <v>311.55555555555554</v>
      </c>
      <c r="C22">
        <v>311.55555555555554</v>
      </c>
      <c r="D22">
        <v>311.55555555555554</v>
      </c>
    </row>
    <row r="23" spans="1:4" x14ac:dyDescent="0.25">
      <c r="A23">
        <v>2031</v>
      </c>
      <c r="B23">
        <v>311.23333333333335</v>
      </c>
      <c r="C23">
        <v>311.23333333333335</v>
      </c>
      <c r="D23">
        <v>311.23333333333335</v>
      </c>
    </row>
    <row r="24" spans="1:4" x14ac:dyDescent="0.25">
      <c r="A24">
        <v>2032</v>
      </c>
      <c r="B24">
        <v>310.9111111111111</v>
      </c>
      <c r="C24">
        <v>310.9111111111111</v>
      </c>
      <c r="D24">
        <v>310.9111111111111</v>
      </c>
    </row>
    <row r="25" spans="1:4" x14ac:dyDescent="0.25">
      <c r="A25">
        <v>2033</v>
      </c>
      <c r="B25">
        <v>310.5888888888889</v>
      </c>
      <c r="C25">
        <v>310.5888888888889</v>
      </c>
      <c r="D25">
        <v>310.5888888888889</v>
      </c>
    </row>
    <row r="26" spans="1:4" x14ac:dyDescent="0.25">
      <c r="A26">
        <v>2034</v>
      </c>
      <c r="B26">
        <v>310.26666666666665</v>
      </c>
      <c r="C26">
        <v>310.26666666666665</v>
      </c>
      <c r="D26">
        <v>310.26666666666665</v>
      </c>
    </row>
    <row r="27" spans="1:4" x14ac:dyDescent="0.25">
      <c r="A27">
        <v>2035</v>
      </c>
      <c r="B27">
        <v>309.94444444444446</v>
      </c>
      <c r="C27">
        <v>309.94444444444446</v>
      </c>
      <c r="D27">
        <v>309.94444444444446</v>
      </c>
    </row>
    <row r="28" spans="1:4" x14ac:dyDescent="0.25">
      <c r="A28">
        <v>2036</v>
      </c>
      <c r="B28">
        <v>309.62222222222221</v>
      </c>
      <c r="C28">
        <v>309.62222222222221</v>
      </c>
      <c r="D28">
        <v>309.62222222222221</v>
      </c>
    </row>
    <row r="29" spans="1:4" x14ac:dyDescent="0.25">
      <c r="A29">
        <v>2037</v>
      </c>
      <c r="B29">
        <v>309.3</v>
      </c>
      <c r="C29">
        <v>309.3</v>
      </c>
      <c r="D29">
        <v>309.3</v>
      </c>
    </row>
    <row r="30" spans="1:4" x14ac:dyDescent="0.25">
      <c r="A30">
        <v>2038</v>
      </c>
      <c r="B30">
        <v>308.97777777777776</v>
      </c>
      <c r="C30">
        <v>308.97777777777776</v>
      </c>
      <c r="D30">
        <v>308.97777777777776</v>
      </c>
    </row>
    <row r="31" spans="1:4" x14ac:dyDescent="0.25">
      <c r="A31">
        <v>2039</v>
      </c>
      <c r="B31">
        <v>308.65555555555557</v>
      </c>
      <c r="C31">
        <v>308.65555555555557</v>
      </c>
      <c r="D31">
        <v>308.65555555555557</v>
      </c>
    </row>
    <row r="32" spans="1:4" x14ac:dyDescent="0.25">
      <c r="A32">
        <v>2040</v>
      </c>
      <c r="B32">
        <v>308.33333333333331</v>
      </c>
      <c r="C32">
        <v>308.33333333333331</v>
      </c>
      <c r="D32">
        <v>308.33333333333331</v>
      </c>
    </row>
    <row r="33" spans="1:4" x14ac:dyDescent="0.25">
      <c r="A33">
        <v>2041</v>
      </c>
      <c r="B33">
        <v>308.01111111111112</v>
      </c>
      <c r="C33">
        <v>308.01111111111112</v>
      </c>
      <c r="D33">
        <v>308.01111111111112</v>
      </c>
    </row>
    <row r="34" spans="1:4" x14ac:dyDescent="0.25">
      <c r="A34">
        <v>2042</v>
      </c>
      <c r="B34">
        <v>307.68888888888887</v>
      </c>
      <c r="C34">
        <v>307.68888888888887</v>
      </c>
      <c r="D34">
        <v>307.68888888888887</v>
      </c>
    </row>
    <row r="35" spans="1:4" x14ac:dyDescent="0.25">
      <c r="A35">
        <v>2043</v>
      </c>
      <c r="B35">
        <v>307.36666666666667</v>
      </c>
      <c r="C35">
        <v>307.36666666666667</v>
      </c>
      <c r="D35">
        <v>307.36666666666667</v>
      </c>
    </row>
    <row r="36" spans="1:4" x14ac:dyDescent="0.25">
      <c r="A36">
        <v>2044</v>
      </c>
      <c r="B36">
        <v>307.04444444444448</v>
      </c>
      <c r="C36">
        <v>307.04444444444448</v>
      </c>
      <c r="D36">
        <v>307.04444444444448</v>
      </c>
    </row>
    <row r="37" spans="1:4" x14ac:dyDescent="0.25">
      <c r="A37">
        <v>2045</v>
      </c>
      <c r="B37">
        <v>306.72222222222223</v>
      </c>
      <c r="C37">
        <v>306.72222222222223</v>
      </c>
      <c r="D37">
        <v>306.72222222222223</v>
      </c>
    </row>
    <row r="38" spans="1:4" x14ac:dyDescent="0.25">
      <c r="A38">
        <v>2046</v>
      </c>
      <c r="B38">
        <v>306.40000000000003</v>
      </c>
      <c r="C38">
        <v>306.40000000000003</v>
      </c>
      <c r="D38">
        <v>306.40000000000003</v>
      </c>
    </row>
    <row r="39" spans="1:4" x14ac:dyDescent="0.25">
      <c r="A39">
        <v>2047</v>
      </c>
      <c r="B39">
        <v>306.07777777777778</v>
      </c>
      <c r="C39">
        <v>306.07777777777778</v>
      </c>
      <c r="D39">
        <v>306.07777777777778</v>
      </c>
    </row>
    <row r="40" spans="1:4" x14ac:dyDescent="0.25">
      <c r="A40">
        <v>2048</v>
      </c>
      <c r="B40">
        <v>305.75555555555559</v>
      </c>
      <c r="C40">
        <v>305.75555555555559</v>
      </c>
      <c r="D40">
        <v>305.75555555555559</v>
      </c>
    </row>
    <row r="41" spans="1:4" x14ac:dyDescent="0.25">
      <c r="A41">
        <v>2049</v>
      </c>
      <c r="B41">
        <v>305.43333333333334</v>
      </c>
      <c r="C41">
        <v>305.43333333333334</v>
      </c>
      <c r="D41">
        <v>305.43333333333334</v>
      </c>
    </row>
    <row r="42" spans="1:4" x14ac:dyDescent="0.25">
      <c r="A42">
        <v>2050</v>
      </c>
      <c r="B42">
        <v>305.11111111111114</v>
      </c>
      <c r="C42">
        <v>305.11111111111114</v>
      </c>
      <c r="D42">
        <v>305.11111111111114</v>
      </c>
    </row>
    <row r="43" spans="1:4" x14ac:dyDescent="0.25">
      <c r="A43">
        <v>2051</v>
      </c>
      <c r="B43">
        <v>304.78888888888889</v>
      </c>
      <c r="C43">
        <v>304.78888888888889</v>
      </c>
      <c r="D43">
        <v>304.78888888888889</v>
      </c>
    </row>
    <row r="44" spans="1:4" x14ac:dyDescent="0.25">
      <c r="A44">
        <v>2052</v>
      </c>
      <c r="B44">
        <v>304.4666666666667</v>
      </c>
      <c r="C44">
        <v>304.4666666666667</v>
      </c>
      <c r="D44">
        <v>304.4666666666667</v>
      </c>
    </row>
    <row r="45" spans="1:4" x14ac:dyDescent="0.25">
      <c r="A45">
        <v>2053</v>
      </c>
      <c r="B45">
        <v>304.14444444444445</v>
      </c>
      <c r="C45">
        <v>304.14444444444445</v>
      </c>
      <c r="D45">
        <v>304.14444444444445</v>
      </c>
    </row>
    <row r="46" spans="1:4" x14ac:dyDescent="0.25">
      <c r="A46">
        <v>2054</v>
      </c>
      <c r="B46">
        <v>303.82222222222225</v>
      </c>
      <c r="C46">
        <v>303.82222222222225</v>
      </c>
      <c r="D46">
        <v>303.82222222222225</v>
      </c>
    </row>
    <row r="47" spans="1:4" x14ac:dyDescent="0.25">
      <c r="A47">
        <v>2055</v>
      </c>
      <c r="B47">
        <v>303.5</v>
      </c>
      <c r="C47">
        <v>303.5</v>
      </c>
      <c r="D47">
        <v>303.5</v>
      </c>
    </row>
    <row r="48" spans="1:4" x14ac:dyDescent="0.25">
      <c r="A48">
        <v>2056</v>
      </c>
      <c r="B48">
        <v>303.17777777777781</v>
      </c>
      <c r="C48">
        <v>303.17777777777781</v>
      </c>
      <c r="D48">
        <v>303.17777777777781</v>
      </c>
    </row>
    <row r="49" spans="1:4" x14ac:dyDescent="0.25">
      <c r="A49">
        <v>2057</v>
      </c>
      <c r="B49">
        <v>302.85555555555555</v>
      </c>
      <c r="C49">
        <v>302.85555555555555</v>
      </c>
      <c r="D49">
        <v>302.85555555555555</v>
      </c>
    </row>
    <row r="50" spans="1:4" x14ac:dyDescent="0.25">
      <c r="A50">
        <v>2058</v>
      </c>
      <c r="B50">
        <v>302.53333333333336</v>
      </c>
      <c r="C50">
        <v>302.53333333333336</v>
      </c>
      <c r="D50">
        <v>302.53333333333336</v>
      </c>
    </row>
    <row r="51" spans="1:4" x14ac:dyDescent="0.25">
      <c r="A51">
        <v>2059</v>
      </c>
      <c r="B51">
        <v>302.21111111111111</v>
      </c>
      <c r="C51">
        <v>302.21111111111111</v>
      </c>
      <c r="D51">
        <v>302.21111111111111</v>
      </c>
    </row>
    <row r="52" spans="1:4" x14ac:dyDescent="0.25">
      <c r="A52">
        <v>2060</v>
      </c>
      <c r="B52">
        <v>301.88888888888891</v>
      </c>
      <c r="C52">
        <v>301.88888888888891</v>
      </c>
      <c r="D52">
        <v>301.88888888888891</v>
      </c>
    </row>
    <row r="53" spans="1:4" x14ac:dyDescent="0.25">
      <c r="A53">
        <v>2061</v>
      </c>
      <c r="B53">
        <v>301.56666666666666</v>
      </c>
      <c r="C53">
        <v>301.56666666666666</v>
      </c>
      <c r="D53">
        <v>301.56666666666666</v>
      </c>
    </row>
    <row r="54" spans="1:4" x14ac:dyDescent="0.25">
      <c r="A54">
        <v>2062</v>
      </c>
      <c r="B54">
        <v>301.24444444444447</v>
      </c>
      <c r="C54">
        <v>301.24444444444447</v>
      </c>
      <c r="D54">
        <v>301.24444444444447</v>
      </c>
    </row>
    <row r="55" spans="1:4" x14ac:dyDescent="0.25">
      <c r="A55">
        <v>2063</v>
      </c>
      <c r="B55">
        <v>300.92222222222222</v>
      </c>
      <c r="C55">
        <v>300.92222222222222</v>
      </c>
      <c r="D55">
        <v>300.92222222222222</v>
      </c>
    </row>
    <row r="56" spans="1:4" x14ac:dyDescent="0.25">
      <c r="A56">
        <v>2064</v>
      </c>
      <c r="B56">
        <v>300.60000000000002</v>
      </c>
      <c r="C56">
        <v>300.60000000000002</v>
      </c>
      <c r="D56">
        <v>300.60000000000002</v>
      </c>
    </row>
    <row r="57" spans="1:4" x14ac:dyDescent="0.25">
      <c r="A57">
        <v>2065</v>
      </c>
      <c r="B57">
        <v>300.27777777777777</v>
      </c>
      <c r="C57">
        <v>300.27777777777777</v>
      </c>
      <c r="D57">
        <v>300.27777777777777</v>
      </c>
    </row>
    <row r="58" spans="1:4" x14ac:dyDescent="0.25">
      <c r="A58">
        <v>2066</v>
      </c>
      <c r="B58">
        <v>299.95555555555558</v>
      </c>
      <c r="C58">
        <v>299.95555555555558</v>
      </c>
      <c r="D58">
        <v>299.95555555555558</v>
      </c>
    </row>
    <row r="59" spans="1:4" x14ac:dyDescent="0.25">
      <c r="A59">
        <v>2067</v>
      </c>
      <c r="B59">
        <v>299.63333333333333</v>
      </c>
      <c r="C59">
        <v>299.63333333333333</v>
      </c>
      <c r="D59">
        <v>299.63333333333333</v>
      </c>
    </row>
    <row r="60" spans="1:4" x14ac:dyDescent="0.25">
      <c r="A60">
        <v>2068</v>
      </c>
      <c r="B60">
        <v>299.31111111111113</v>
      </c>
      <c r="C60">
        <v>299.31111111111113</v>
      </c>
      <c r="D60">
        <v>299.31111111111113</v>
      </c>
    </row>
    <row r="61" spans="1:4" x14ac:dyDescent="0.25">
      <c r="A61">
        <v>2069</v>
      </c>
      <c r="B61">
        <v>298.98888888888888</v>
      </c>
      <c r="C61">
        <v>298.98888888888888</v>
      </c>
      <c r="D61">
        <v>298.98888888888888</v>
      </c>
    </row>
    <row r="62" spans="1:4" x14ac:dyDescent="0.25">
      <c r="A62">
        <v>2070</v>
      </c>
      <c r="B62">
        <v>298.66666666666669</v>
      </c>
      <c r="C62">
        <v>298.66666666666669</v>
      </c>
      <c r="D62">
        <v>298.66666666666669</v>
      </c>
    </row>
    <row r="63" spans="1:4" x14ac:dyDescent="0.25">
      <c r="A63">
        <v>2071</v>
      </c>
      <c r="B63">
        <v>298.34444444444443</v>
      </c>
      <c r="C63">
        <v>298.34444444444443</v>
      </c>
      <c r="D63">
        <v>298.34444444444443</v>
      </c>
    </row>
    <row r="64" spans="1:4" x14ac:dyDescent="0.25">
      <c r="A64">
        <v>2072</v>
      </c>
      <c r="B64">
        <v>298.02222222222224</v>
      </c>
      <c r="C64">
        <v>298.02222222222224</v>
      </c>
      <c r="D64">
        <v>298.02222222222224</v>
      </c>
    </row>
    <row r="65" spans="1:4" x14ac:dyDescent="0.25">
      <c r="A65">
        <v>2073</v>
      </c>
      <c r="B65">
        <v>297.7</v>
      </c>
      <c r="C65">
        <v>297.7</v>
      </c>
      <c r="D65">
        <v>297.7</v>
      </c>
    </row>
    <row r="66" spans="1:4" x14ac:dyDescent="0.25">
      <c r="A66">
        <v>2074</v>
      </c>
      <c r="B66">
        <v>297.37777777777779</v>
      </c>
      <c r="C66">
        <v>297.37777777777779</v>
      </c>
      <c r="D66">
        <v>297.37777777777779</v>
      </c>
    </row>
    <row r="67" spans="1:4" x14ac:dyDescent="0.25">
      <c r="A67">
        <v>2075</v>
      </c>
      <c r="B67">
        <v>297.05555555555554</v>
      </c>
      <c r="C67">
        <v>297.05555555555554</v>
      </c>
      <c r="D67">
        <v>297.05555555555554</v>
      </c>
    </row>
    <row r="68" spans="1:4" x14ac:dyDescent="0.25">
      <c r="A68">
        <v>2076</v>
      </c>
      <c r="B68">
        <v>296.73333333333335</v>
      </c>
      <c r="C68">
        <v>296.73333333333335</v>
      </c>
      <c r="D68">
        <v>296.73333333333335</v>
      </c>
    </row>
    <row r="69" spans="1:4" x14ac:dyDescent="0.25">
      <c r="A69">
        <v>2077</v>
      </c>
      <c r="B69">
        <v>296.41111111111115</v>
      </c>
      <c r="C69">
        <v>296.41111111111115</v>
      </c>
      <c r="D69">
        <v>296.41111111111115</v>
      </c>
    </row>
    <row r="70" spans="1:4" x14ac:dyDescent="0.25">
      <c r="A70">
        <v>2078</v>
      </c>
      <c r="B70">
        <v>296.0888888888889</v>
      </c>
      <c r="C70">
        <v>296.0888888888889</v>
      </c>
      <c r="D70">
        <v>296.0888888888889</v>
      </c>
    </row>
    <row r="71" spans="1:4" x14ac:dyDescent="0.25">
      <c r="A71">
        <v>2079</v>
      </c>
      <c r="B71">
        <v>295.76666666666665</v>
      </c>
      <c r="C71">
        <v>295.76666666666665</v>
      </c>
      <c r="D71">
        <v>295.76666666666665</v>
      </c>
    </row>
    <row r="72" spans="1:4" x14ac:dyDescent="0.25">
      <c r="A72">
        <v>2080</v>
      </c>
      <c r="B72">
        <v>295.44444444444446</v>
      </c>
      <c r="C72">
        <v>295.44444444444446</v>
      </c>
      <c r="D72">
        <v>295.44444444444446</v>
      </c>
    </row>
    <row r="73" spans="1:4" x14ac:dyDescent="0.25">
      <c r="A73">
        <v>2081</v>
      </c>
      <c r="B73">
        <v>295.12222222222226</v>
      </c>
      <c r="C73">
        <v>295.12222222222226</v>
      </c>
      <c r="D73">
        <v>295.12222222222226</v>
      </c>
    </row>
    <row r="74" spans="1:4" x14ac:dyDescent="0.25">
      <c r="A74">
        <v>2082</v>
      </c>
      <c r="B74">
        <v>294.8</v>
      </c>
      <c r="C74">
        <v>294.8</v>
      </c>
      <c r="D74">
        <v>294.8</v>
      </c>
    </row>
    <row r="75" spans="1:4" x14ac:dyDescent="0.25">
      <c r="A75">
        <v>2083</v>
      </c>
      <c r="B75">
        <v>294.47777777777782</v>
      </c>
      <c r="C75">
        <v>294.47777777777782</v>
      </c>
      <c r="D75">
        <v>294.47777777777782</v>
      </c>
    </row>
    <row r="76" spans="1:4" x14ac:dyDescent="0.25">
      <c r="A76">
        <v>2084</v>
      </c>
      <c r="B76">
        <v>294.15555555555557</v>
      </c>
      <c r="C76">
        <v>294.15555555555557</v>
      </c>
      <c r="D76">
        <v>294.15555555555557</v>
      </c>
    </row>
    <row r="77" spans="1:4" x14ac:dyDescent="0.25">
      <c r="A77">
        <v>2085</v>
      </c>
      <c r="B77">
        <v>293.83333333333337</v>
      </c>
      <c r="C77">
        <v>293.83333333333337</v>
      </c>
      <c r="D77">
        <v>293.83333333333337</v>
      </c>
    </row>
    <row r="78" spans="1:4" x14ac:dyDescent="0.25">
      <c r="A78">
        <v>2086</v>
      </c>
      <c r="B78">
        <v>293.51111111111112</v>
      </c>
      <c r="C78">
        <v>293.51111111111112</v>
      </c>
      <c r="D78">
        <v>293.51111111111112</v>
      </c>
    </row>
    <row r="79" spans="1:4" x14ac:dyDescent="0.25">
      <c r="A79">
        <v>2087</v>
      </c>
      <c r="B79">
        <v>293.18888888888893</v>
      </c>
      <c r="C79">
        <v>293.18888888888893</v>
      </c>
      <c r="D79">
        <v>293.18888888888893</v>
      </c>
    </row>
    <row r="80" spans="1:4" x14ac:dyDescent="0.25">
      <c r="A80">
        <v>2088</v>
      </c>
      <c r="B80">
        <v>292.86666666666667</v>
      </c>
      <c r="C80">
        <v>292.86666666666667</v>
      </c>
      <c r="D80">
        <v>292.86666666666667</v>
      </c>
    </row>
    <row r="81" spans="1:4" x14ac:dyDescent="0.25">
      <c r="A81">
        <v>2089</v>
      </c>
      <c r="B81">
        <v>292.54444444444448</v>
      </c>
      <c r="C81">
        <v>292.54444444444448</v>
      </c>
      <c r="D81">
        <v>292.54444444444448</v>
      </c>
    </row>
    <row r="82" spans="1:4" x14ac:dyDescent="0.25">
      <c r="A82">
        <v>2090</v>
      </c>
      <c r="B82">
        <v>292.22222222222223</v>
      </c>
      <c r="C82">
        <v>292.22222222222223</v>
      </c>
      <c r="D82">
        <v>292.22222222222223</v>
      </c>
    </row>
    <row r="83" spans="1:4" x14ac:dyDescent="0.25">
      <c r="A83">
        <v>2091</v>
      </c>
      <c r="B83">
        <v>291.90000000000003</v>
      </c>
      <c r="C83">
        <v>291.90000000000003</v>
      </c>
      <c r="D83">
        <v>291.90000000000003</v>
      </c>
    </row>
    <row r="84" spans="1:4" x14ac:dyDescent="0.25">
      <c r="A84">
        <v>2092</v>
      </c>
      <c r="B84">
        <v>291.57777777777778</v>
      </c>
      <c r="C84">
        <v>291.57777777777778</v>
      </c>
      <c r="D84">
        <v>291.57777777777778</v>
      </c>
    </row>
    <row r="85" spans="1:4" x14ac:dyDescent="0.25">
      <c r="A85">
        <v>2093</v>
      </c>
      <c r="B85">
        <v>291.25555555555559</v>
      </c>
      <c r="C85">
        <v>291.25555555555559</v>
      </c>
      <c r="D85">
        <v>291.25555555555559</v>
      </c>
    </row>
    <row r="86" spans="1:4" x14ac:dyDescent="0.25">
      <c r="A86">
        <v>2094</v>
      </c>
      <c r="B86">
        <v>290.93333333333334</v>
      </c>
      <c r="C86">
        <v>290.93333333333334</v>
      </c>
      <c r="D86">
        <v>290.93333333333334</v>
      </c>
    </row>
    <row r="87" spans="1:4" x14ac:dyDescent="0.25">
      <c r="A87">
        <v>2095</v>
      </c>
      <c r="B87">
        <v>290.61111111111114</v>
      </c>
      <c r="C87">
        <v>290.61111111111114</v>
      </c>
      <c r="D87">
        <v>290.61111111111114</v>
      </c>
    </row>
    <row r="88" spans="1:4" x14ac:dyDescent="0.25">
      <c r="A88">
        <v>2096</v>
      </c>
      <c r="B88">
        <v>290.28888888888889</v>
      </c>
      <c r="C88">
        <v>290.28888888888889</v>
      </c>
      <c r="D88">
        <v>290.28888888888889</v>
      </c>
    </row>
    <row r="89" spans="1:4" x14ac:dyDescent="0.25">
      <c r="A89">
        <v>2097</v>
      </c>
      <c r="B89">
        <v>289.9666666666667</v>
      </c>
      <c r="C89">
        <v>289.9666666666667</v>
      </c>
      <c r="D89">
        <v>289.9666666666667</v>
      </c>
    </row>
    <row r="90" spans="1:4" x14ac:dyDescent="0.25">
      <c r="A90">
        <v>2098</v>
      </c>
      <c r="B90">
        <v>289.64444444444445</v>
      </c>
      <c r="C90">
        <v>289.64444444444445</v>
      </c>
      <c r="D90">
        <v>289.64444444444445</v>
      </c>
    </row>
    <row r="91" spans="1:4" x14ac:dyDescent="0.25">
      <c r="A91">
        <v>2099</v>
      </c>
      <c r="B91">
        <v>289.32222222222225</v>
      </c>
      <c r="C91">
        <v>289.32222222222225</v>
      </c>
      <c r="D91">
        <v>289.32222222222225</v>
      </c>
    </row>
    <row r="92" spans="1:4" x14ac:dyDescent="0.25">
      <c r="A92">
        <v>2100</v>
      </c>
      <c r="B92">
        <v>289</v>
      </c>
      <c r="C92">
        <v>289</v>
      </c>
      <c r="D92">
        <v>289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workbookViewId="0">
      <selection activeCell="C2" sqref="C2"/>
    </sheetView>
  </sheetViews>
  <sheetFormatPr defaultRowHeight="15" x14ac:dyDescent="0.25"/>
  <cols>
    <col min="4" max="4" width="8.140625" customWidth="1"/>
    <col min="16" max="16" width="12" bestFit="1" customWidth="1"/>
  </cols>
  <sheetData>
    <row r="1" spans="1:23" x14ac:dyDescent="0.25">
      <c r="B1" t="s">
        <v>56</v>
      </c>
      <c r="C1" t="s">
        <v>64</v>
      </c>
      <c r="D1" t="s">
        <v>58</v>
      </c>
      <c r="E1" t="s">
        <v>57</v>
      </c>
      <c r="G1" t="s">
        <v>65</v>
      </c>
      <c r="M1" t="s">
        <v>132</v>
      </c>
      <c r="N1" t="s">
        <v>133</v>
      </c>
      <c r="U1" t="s">
        <v>59</v>
      </c>
      <c r="V1" t="s">
        <v>126</v>
      </c>
      <c r="W1" t="s">
        <v>61</v>
      </c>
    </row>
    <row r="2" spans="1:23" x14ac:dyDescent="0.25">
      <c r="B2">
        <v>120</v>
      </c>
      <c r="C2">
        <f>120/3600</f>
        <v>3.3333333333333333E-2</v>
      </c>
      <c r="D2">
        <f>C2*E2*1000</f>
        <v>166666.66666666666</v>
      </c>
      <c r="E2">
        <v>5000</v>
      </c>
      <c r="G2" t="s">
        <v>59</v>
      </c>
      <c r="H2" t="s">
        <v>60</v>
      </c>
      <c r="I2" t="s">
        <v>61</v>
      </c>
      <c r="L2" t="s">
        <v>131</v>
      </c>
      <c r="M2">
        <v>1.0289999999999999</v>
      </c>
      <c r="N2">
        <v>1.1000000000000001</v>
      </c>
      <c r="O2">
        <f>M2*N2</f>
        <v>1.1318999999999999</v>
      </c>
      <c r="T2">
        <v>2020</v>
      </c>
      <c r="U2">
        <v>23058</v>
      </c>
      <c r="V2">
        <v>55739.999999999993</v>
      </c>
      <c r="W2">
        <v>2364</v>
      </c>
    </row>
    <row r="3" spans="1:23" x14ac:dyDescent="0.25">
      <c r="G3">
        <v>3843</v>
      </c>
      <c r="H3">
        <v>9290</v>
      </c>
      <c r="I3">
        <v>394</v>
      </c>
      <c r="T3">
        <v>2025</v>
      </c>
      <c r="U3">
        <v>20252.61</v>
      </c>
      <c r="V3">
        <v>48958.299999999996</v>
      </c>
      <c r="W3">
        <v>2076.3799999999997</v>
      </c>
    </row>
    <row r="4" spans="1:23" x14ac:dyDescent="0.25">
      <c r="G4">
        <f>G3/E2*1000</f>
        <v>768.59999999999991</v>
      </c>
      <c r="H4">
        <f>H3/E2*1000</f>
        <v>1858</v>
      </c>
      <c r="I4">
        <f>I3/E2*1000</f>
        <v>78.8</v>
      </c>
      <c r="T4">
        <v>2030</v>
      </c>
      <c r="U4">
        <v>17447.219999999998</v>
      </c>
      <c r="V4">
        <v>42176.599999999991</v>
      </c>
      <c r="W4">
        <v>1788.7599999999998</v>
      </c>
    </row>
    <row r="5" spans="1:23" x14ac:dyDescent="0.25">
      <c r="T5">
        <v>2035</v>
      </c>
      <c r="U5">
        <v>14641.829999999998</v>
      </c>
      <c r="V5">
        <v>35394.899999999994</v>
      </c>
      <c r="W5">
        <v>1501.1399999999996</v>
      </c>
    </row>
    <row r="6" spans="1:23" x14ac:dyDescent="0.25">
      <c r="A6" t="s">
        <v>66</v>
      </c>
      <c r="T6">
        <v>2040</v>
      </c>
      <c r="U6">
        <v>11836.439999999999</v>
      </c>
      <c r="V6">
        <v>28613.19999999999</v>
      </c>
      <c r="W6">
        <v>1213.5199999999995</v>
      </c>
    </row>
    <row r="7" spans="1:23" x14ac:dyDescent="0.25">
      <c r="T7">
        <v>2045</v>
      </c>
      <c r="U7">
        <v>9031.0499999999956</v>
      </c>
      <c r="V7">
        <v>21831.499999999985</v>
      </c>
      <c r="W7">
        <v>925.89999999999964</v>
      </c>
    </row>
    <row r="8" spans="1:23" x14ac:dyDescent="0.25">
      <c r="B8" t="s">
        <v>59</v>
      </c>
      <c r="C8" t="s">
        <v>126</v>
      </c>
      <c r="D8" t="s">
        <v>61</v>
      </c>
      <c r="E8" t="s">
        <v>63</v>
      </c>
      <c r="F8" t="s">
        <v>55</v>
      </c>
      <c r="O8" t="s">
        <v>130</v>
      </c>
      <c r="T8">
        <v>2050</v>
      </c>
      <c r="U8">
        <v>6225.6599999999962</v>
      </c>
      <c r="V8">
        <v>15049.799999999988</v>
      </c>
      <c r="W8">
        <v>638.27999999999952</v>
      </c>
    </row>
    <row r="9" spans="1:23" x14ac:dyDescent="0.25">
      <c r="A9">
        <v>2020</v>
      </c>
      <c r="B9">
        <f>0.061*10^6*$O2</f>
        <v>69045.899999999994</v>
      </c>
      <c r="C9">
        <v>55739.999999999993</v>
      </c>
      <c r="D9">
        <f>0.00319*10^6*$O2</f>
        <v>3610.7609999999995</v>
      </c>
      <c r="J9">
        <f>0.061*10^6*$O2</f>
        <v>69045.899999999994</v>
      </c>
      <c r="L9">
        <f>0.00319*10^6*$O2</f>
        <v>3610.7609999999995</v>
      </c>
      <c r="O9">
        <v>0.88</v>
      </c>
      <c r="P9">
        <v>0.99</v>
      </c>
    </row>
    <row r="10" spans="1:23" x14ac:dyDescent="0.25">
      <c r="A10">
        <v>2025</v>
      </c>
      <c r="B10">
        <f>(B9+B11)/2</f>
        <v>61688.549999999996</v>
      </c>
      <c r="C10">
        <v>48958.299999999996</v>
      </c>
      <c r="D10">
        <f>(D9+D11)/2</f>
        <v>3010.8539999999994</v>
      </c>
    </row>
    <row r="11" spans="1:23" x14ac:dyDescent="0.25">
      <c r="A11">
        <v>2030</v>
      </c>
      <c r="B11">
        <f>0.048*10^6*$O2</f>
        <v>54331.199999999997</v>
      </c>
      <c r="C11">
        <v>42176.599999999991</v>
      </c>
      <c r="D11">
        <f>0.00213*10^6*$O2</f>
        <v>2410.9469999999997</v>
      </c>
      <c r="J11">
        <f>0.048*10^6*$O2</f>
        <v>54331.199999999997</v>
      </c>
      <c r="L11">
        <f>0.00213*10^6*$O2</f>
        <v>2410.9469999999997</v>
      </c>
      <c r="O11">
        <v>0.89</v>
      </c>
      <c r="P11">
        <v>0.99</v>
      </c>
    </row>
    <row r="12" spans="1:23" x14ac:dyDescent="0.25">
      <c r="A12">
        <v>2035</v>
      </c>
      <c r="B12">
        <f>(B11+B13)/2</f>
        <v>43578.149999999994</v>
      </c>
      <c r="C12">
        <v>35394.899999999994</v>
      </c>
      <c r="D12">
        <f>(D11+D13)/2</f>
        <v>2110.9934999999996</v>
      </c>
      <c r="G12" t="s">
        <v>67</v>
      </c>
      <c r="H12">
        <v>0.73</v>
      </c>
    </row>
    <row r="13" spans="1:23" x14ac:dyDescent="0.25">
      <c r="A13">
        <v>2040</v>
      </c>
      <c r="B13">
        <f>0.029*10^6*$O2</f>
        <v>32825.1</v>
      </c>
      <c r="C13">
        <v>28613.19999999999</v>
      </c>
      <c r="D13">
        <f>0.0016*10^6*$O2</f>
        <v>1811.04</v>
      </c>
      <c r="J13">
        <f>0.029*10^6*$O2</f>
        <v>32825.1</v>
      </c>
      <c r="L13">
        <f>0.0016*10^6*$O2</f>
        <v>1811.04</v>
      </c>
      <c r="O13">
        <v>0.9</v>
      </c>
      <c r="P13">
        <v>0.99</v>
      </c>
    </row>
    <row r="14" spans="1:23" x14ac:dyDescent="0.25">
      <c r="A14">
        <v>2045</v>
      </c>
      <c r="B14">
        <f>(B13+B15)/2</f>
        <v>28863.449999999997</v>
      </c>
      <c r="C14">
        <v>21831.499999999985</v>
      </c>
      <c r="D14">
        <f>(D13+D15)/2</f>
        <v>1629.9359999999999</v>
      </c>
    </row>
    <row r="15" spans="1:23" x14ac:dyDescent="0.25">
      <c r="A15">
        <v>2050</v>
      </c>
      <c r="B15">
        <f>0.022*10^6*$O2</f>
        <v>24901.8</v>
      </c>
      <c r="C15">
        <v>15049.799999999988</v>
      </c>
      <c r="D15">
        <f>0.00128*10^6*$O2</f>
        <v>1448.8319999999999</v>
      </c>
      <c r="E15">
        <f>0.00106*10^6*$O2</f>
        <v>1199.8139999999999</v>
      </c>
      <c r="F15">
        <f>0.00191*10^6*$O2</f>
        <v>2161.9289999999996</v>
      </c>
      <c r="J15">
        <f>0.022*10^6*$O2</f>
        <v>24901.8</v>
      </c>
      <c r="L15">
        <f>0.00128*10^6*$O2</f>
        <v>1448.8319999999999</v>
      </c>
      <c r="O15">
        <v>0.9</v>
      </c>
      <c r="P15">
        <v>0.99</v>
      </c>
    </row>
    <row r="16" spans="1:23" x14ac:dyDescent="0.25">
      <c r="B16">
        <f>0.022*10^6*$O2</f>
        <v>24901.8</v>
      </c>
    </row>
    <row r="17" spans="1:4" x14ac:dyDescent="0.25">
      <c r="B17">
        <f>0.037*10^6*$O2</f>
        <v>41880.299999999996</v>
      </c>
    </row>
    <row r="18" spans="1:4" x14ac:dyDescent="0.25">
      <c r="A18" t="s">
        <v>136</v>
      </c>
    </row>
    <row r="19" spans="1:4" x14ac:dyDescent="0.25">
      <c r="A19" t="s">
        <v>135</v>
      </c>
      <c r="B19" t="s">
        <v>59</v>
      </c>
      <c r="C19" t="s">
        <v>126</v>
      </c>
      <c r="D19" t="s">
        <v>61</v>
      </c>
    </row>
    <row r="20" spans="1:4" x14ac:dyDescent="0.25">
      <c r="A20">
        <v>2020</v>
      </c>
      <c r="B20">
        <f>O2*638.04</f>
        <v>722.19747599999994</v>
      </c>
      <c r="D20">
        <v>0</v>
      </c>
    </row>
    <row r="21" spans="1:4" x14ac:dyDescent="0.25">
      <c r="A21">
        <v>2025</v>
      </c>
      <c r="B21">
        <f>(B22+B20)/2</f>
        <v>662.01435300000003</v>
      </c>
      <c r="D21">
        <v>0</v>
      </c>
    </row>
    <row r="22" spans="1:4" x14ac:dyDescent="0.25">
      <c r="A22">
        <v>2030</v>
      </c>
      <c r="B22">
        <f>O2*531.7</f>
        <v>601.83123000000001</v>
      </c>
      <c r="D22">
        <v>0</v>
      </c>
    </row>
    <row r="23" spans="1:4" x14ac:dyDescent="0.25">
      <c r="A23">
        <v>2035</v>
      </c>
      <c r="B23">
        <f>(B24+B22)/2</f>
        <v>601.83123000000001</v>
      </c>
      <c r="D23">
        <v>0</v>
      </c>
    </row>
    <row r="24" spans="1:4" x14ac:dyDescent="0.25">
      <c r="A24">
        <v>2040</v>
      </c>
      <c r="B24">
        <f>O2*531.7</f>
        <v>601.83123000000001</v>
      </c>
      <c r="D24">
        <v>0</v>
      </c>
    </row>
    <row r="25" spans="1:4" x14ac:dyDescent="0.25">
      <c r="A25">
        <v>2045</v>
      </c>
      <c r="B25">
        <f>(B26+B24)/2</f>
        <v>541.64810699999998</v>
      </c>
      <c r="D25">
        <v>0</v>
      </c>
    </row>
    <row r="26" spans="1:4" x14ac:dyDescent="0.25">
      <c r="A26">
        <v>2050</v>
      </c>
      <c r="B26">
        <f>O2*425.36</f>
        <v>481.46498399999996</v>
      </c>
      <c r="D26">
        <v>0</v>
      </c>
    </row>
    <row r="27" spans="1:4" x14ac:dyDescent="0.25">
      <c r="B27">
        <f>O2*319.02</f>
        <v>361.09873799999997</v>
      </c>
    </row>
    <row r="28" spans="1:4" x14ac:dyDescent="0.25">
      <c r="B28">
        <f>O2*478.53</f>
        <v>541.64810699999987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"/>
  <sheetViews>
    <sheetView workbookViewId="0">
      <selection activeCell="J8" sqref="J8"/>
    </sheetView>
  </sheetViews>
  <sheetFormatPr defaultRowHeight="15" x14ac:dyDescent="0.25"/>
  <cols>
    <col min="2" max="2" width="8.7109375" customWidth="1"/>
    <col min="3" max="3" width="9.140625" customWidth="1"/>
    <col min="4" max="4" width="7.85546875" customWidth="1"/>
    <col min="6" max="6" width="10.28515625" customWidth="1"/>
    <col min="8" max="8" width="8" customWidth="1"/>
  </cols>
  <sheetData>
    <row r="1" spans="1:22" x14ac:dyDescent="0.25">
      <c r="A1" t="s">
        <v>89</v>
      </c>
      <c r="B1" t="s">
        <v>92</v>
      </c>
      <c r="F1" t="s">
        <v>98</v>
      </c>
      <c r="H1" t="s">
        <v>99</v>
      </c>
      <c r="J1" t="s">
        <v>107</v>
      </c>
      <c r="O1" t="s">
        <v>100</v>
      </c>
      <c r="P1" t="s">
        <v>99</v>
      </c>
      <c r="Q1" t="s">
        <v>104</v>
      </c>
      <c r="U1" t="s">
        <v>140</v>
      </c>
      <c r="V1">
        <v>1.3</v>
      </c>
    </row>
    <row r="2" spans="1:22" x14ac:dyDescent="0.25">
      <c r="B2" t="s">
        <v>96</v>
      </c>
      <c r="C2" t="s">
        <v>97</v>
      </c>
    </row>
    <row r="3" spans="1:22" x14ac:dyDescent="0.25">
      <c r="A3" t="s">
        <v>95</v>
      </c>
      <c r="B3">
        <v>0.85</v>
      </c>
      <c r="C3">
        <v>0.85</v>
      </c>
      <c r="F3">
        <v>0.85</v>
      </c>
      <c r="H3">
        <v>0.85</v>
      </c>
      <c r="P3">
        <v>0.8</v>
      </c>
      <c r="Q3">
        <v>0.8</v>
      </c>
      <c r="R3">
        <v>0.8</v>
      </c>
    </row>
    <row r="4" spans="1:22" x14ac:dyDescent="0.25">
      <c r="A4" t="s">
        <v>105</v>
      </c>
      <c r="B4">
        <f>(3754-2158)*10^3</f>
        <v>1596000</v>
      </c>
      <c r="C4">
        <f>(3781-2099)*10^3</f>
        <v>1682000</v>
      </c>
      <c r="F4">
        <f>(4186-2896)*10^3</f>
        <v>1290000</v>
      </c>
      <c r="H4">
        <f>(1531-686)*10^3</f>
        <v>845000</v>
      </c>
      <c r="J4">
        <f>15*10^6</f>
        <v>15000000</v>
      </c>
      <c r="O4" t="s">
        <v>102</v>
      </c>
      <c r="P4">
        <f>(998-568)*1000</f>
        <v>430000</v>
      </c>
      <c r="Q4">
        <f>(2096-1286)*1000</f>
        <v>810000</v>
      </c>
      <c r="R4">
        <f>(1825-1326)*1000</f>
        <v>499000</v>
      </c>
    </row>
    <row r="5" spans="1:22" x14ac:dyDescent="0.25">
      <c r="A5" t="s">
        <v>106</v>
      </c>
      <c r="B5">
        <f>480*8760*B3/642</f>
        <v>5567.1028037383176</v>
      </c>
      <c r="C5">
        <f>551*8760*C3/661.1</f>
        <v>6205.9385872031462</v>
      </c>
      <c r="F5">
        <f>436*8760*F3/673</f>
        <v>4823.8573551262998</v>
      </c>
      <c r="H5">
        <f>202*8760*H3/601</f>
        <v>2502.6489184692182</v>
      </c>
      <c r="J5">
        <f>194000*0.88</f>
        <v>170720</v>
      </c>
      <c r="O5" t="s">
        <v>101</v>
      </c>
      <c r="P5">
        <f>(0.736-0.052)</f>
        <v>0.68399999999999994</v>
      </c>
      <c r="Q5">
        <f>0.762-0.112</f>
        <v>0.65</v>
      </c>
      <c r="R5">
        <f>0.773-0.108</f>
        <v>0.66500000000000004</v>
      </c>
    </row>
    <row r="6" spans="1:22" x14ac:dyDescent="0.25">
      <c r="A6" t="s">
        <v>90</v>
      </c>
      <c r="B6">
        <f>B4/B5*V1</f>
        <v>372.68936341659952</v>
      </c>
      <c r="C6">
        <f>C4/C5*V1</f>
        <v>352.3399352531207</v>
      </c>
      <c r="F6">
        <f>F4/F5</f>
        <v>267.4208429130104</v>
      </c>
      <c r="H6">
        <f>H4/H5</f>
        <v>337.64224528818715</v>
      </c>
      <c r="J6">
        <f>J4/J5</f>
        <v>87.863167760074973</v>
      </c>
      <c r="O6" t="s">
        <v>103</v>
      </c>
      <c r="P6">
        <f>P4/P5/8760/P3</f>
        <v>89.705332585649813</v>
      </c>
      <c r="Q6">
        <f>Q4/Q5/8760/Q3</f>
        <v>177.81875658587984</v>
      </c>
      <c r="R6">
        <f>R4/R5/8760/R3</f>
        <v>107.07419233014041</v>
      </c>
    </row>
    <row r="8" spans="1:22" x14ac:dyDescent="0.25">
      <c r="A8" t="s">
        <v>91</v>
      </c>
      <c r="B8">
        <f>(33.1/642-22.6/580)*10^6/B5*V1</f>
        <v>2.940443221848652</v>
      </c>
      <c r="C8">
        <f>(39.3/661.1-26.6/580.2)*10^6/C5*V1</f>
        <v>2.8489087175335204</v>
      </c>
      <c r="F8">
        <f>(52/673-50.4/737)*10^6/F5</f>
        <v>1.8409804857439391</v>
      </c>
      <c r="H8">
        <f>(14.8/601-9.7/641)*10^6/H5</f>
        <v>3.7931883236986081</v>
      </c>
      <c r="J8">
        <f>0.5*10^6/J4</f>
        <v>3.3333333333333333E-2</v>
      </c>
      <c r="O8" t="s">
        <v>94</v>
      </c>
    </row>
    <row r="9" spans="1:22" x14ac:dyDescent="0.25">
      <c r="A9" t="s">
        <v>94</v>
      </c>
      <c r="B9">
        <f>(17.84-9.64)/(0.774-0.097)*V1</f>
        <v>15.745937961595271</v>
      </c>
      <c r="C9">
        <f>(8.95-4.64)/(0.8-0.112)*V1</f>
        <v>8.1438953488372086</v>
      </c>
      <c r="F9">
        <f>(17.37-11.97)/(0.724-0.099)</f>
        <v>8.64</v>
      </c>
      <c r="H9">
        <f>(2.3-1.18)/(0.356-0.04)</f>
        <v>3.5443037974683542</v>
      </c>
      <c r="J9">
        <f>0.5*10^6/J4</f>
        <v>3.3333333333333333E-2</v>
      </c>
      <c r="O9" t="s">
        <v>91</v>
      </c>
    </row>
    <row r="10" spans="1:22" x14ac:dyDescent="0.25">
      <c r="A10" t="s">
        <v>93</v>
      </c>
      <c r="B10">
        <f>0.06*0.4+0.12*0.6</f>
        <v>9.6000000000000002E-2</v>
      </c>
      <c r="C10">
        <f>0.06*0.4+0.12*0.6</f>
        <v>9.6000000000000002E-2</v>
      </c>
      <c r="F10">
        <f>0.06*0.4+0.12*0.6</f>
        <v>9.6000000000000002E-2</v>
      </c>
      <c r="H10">
        <f>0.06*0.4+0.12*0.6</f>
        <v>9.6000000000000002E-2</v>
      </c>
      <c r="J10">
        <f>0.06*0.4+0.12*0.6</f>
        <v>9.6000000000000002E-2</v>
      </c>
    </row>
    <row r="11" spans="1:22" x14ac:dyDescent="0.25">
      <c r="B11">
        <f>B10*(1+B10)^30/((1+B10)^30-1)</f>
        <v>0.1025560887671574</v>
      </c>
      <c r="C11">
        <f>C10*(1+C10)^30/((1+C10)^30-1)</f>
        <v>0.1025560887671574</v>
      </c>
      <c r="F11">
        <f>F10*(1+F10)^30/((1+F10)^30-1)</f>
        <v>0.1025560887671574</v>
      </c>
      <c r="H11">
        <f>H10*(1+H10)^30/((1+H10)^30-1)</f>
        <v>0.1025560887671574</v>
      </c>
      <c r="J11">
        <f>J10*(1+J10)^30/((1+J10)^30-1)</f>
        <v>0.1025560887671574</v>
      </c>
    </row>
    <row r="13" spans="1:22" x14ac:dyDescent="0.25">
      <c r="B13">
        <f>B6*B11+B9+B8</f>
        <v>56.907944620572081</v>
      </c>
      <c r="C13">
        <f>C6*C11+C8+C9</f>
        <v>47.127409742404268</v>
      </c>
      <c r="F13">
        <f>F6*F11+F9+F8</f>
        <v>37.90661618971869</v>
      </c>
      <c r="H13">
        <f>H6*H11+H9+H8</f>
        <v>41.964760200484612</v>
      </c>
      <c r="J13">
        <f>J6*J11+J9+J8</f>
        <v>9.0775694988325579</v>
      </c>
    </row>
    <row r="15" spans="1:22" x14ac:dyDescent="0.25">
      <c r="A15" t="s">
        <v>108</v>
      </c>
      <c r="L15" t="s">
        <v>100</v>
      </c>
    </row>
    <row r="16" spans="1:22" x14ac:dyDescent="0.25">
      <c r="M16" t="s">
        <v>112</v>
      </c>
      <c r="N16" t="s">
        <v>113</v>
      </c>
    </row>
    <row r="17" spans="1:14" x14ac:dyDescent="0.25">
      <c r="A17" t="s">
        <v>109</v>
      </c>
      <c r="B17">
        <f>61/480</f>
        <v>0.12708333333333333</v>
      </c>
      <c r="C17">
        <f>79.9/551</f>
        <v>0.14500907441016336</v>
      </c>
      <c r="F17">
        <f>(177-108*497/629)/436</f>
        <v>0.21023978646752525</v>
      </c>
      <c r="H17">
        <f>(42-11*559/630)/202</f>
        <v>0.15960238881030961</v>
      </c>
      <c r="J17">
        <f>N19</f>
        <v>0.61087354917532066</v>
      </c>
      <c r="L17" t="s">
        <v>110</v>
      </c>
      <c r="M17">
        <v>0.16</v>
      </c>
      <c r="N17">
        <v>0.08</v>
      </c>
    </row>
    <row r="18" spans="1:14" x14ac:dyDescent="0.25">
      <c r="L18" t="s">
        <v>111</v>
      </c>
      <c r="M18">
        <f>0.672*1.16-0.052</f>
        <v>0.72751999999999994</v>
      </c>
      <c r="N18">
        <f>0.137*1.08-0.017</f>
        <v>0.13096000000000002</v>
      </c>
    </row>
    <row r="19" spans="1:14" x14ac:dyDescent="0.25">
      <c r="A19" t="s">
        <v>134</v>
      </c>
      <c r="B19" t="s">
        <v>125</v>
      </c>
      <c r="C19" t="s">
        <v>17</v>
      </c>
      <c r="M19">
        <f>M17/M18</f>
        <v>0.21992522542335607</v>
      </c>
      <c r="N19">
        <f>N17/N18</f>
        <v>0.61087354917532066</v>
      </c>
    </row>
    <row r="20" spans="1:14" x14ac:dyDescent="0.25">
      <c r="A20">
        <v>2020</v>
      </c>
      <c r="B20">
        <v>1</v>
      </c>
      <c r="C20">
        <f>1</f>
        <v>1</v>
      </c>
    </row>
    <row r="21" spans="1:14" x14ac:dyDescent="0.25">
      <c r="A21">
        <v>2025</v>
      </c>
      <c r="B21">
        <f>3/4.3</f>
        <v>0.69767441860465118</v>
      </c>
      <c r="C21">
        <f>0.09/0.13</f>
        <v>0.69230769230769229</v>
      </c>
    </row>
    <row r="22" spans="1:14" x14ac:dyDescent="0.25">
      <c r="A22">
        <v>2030</v>
      </c>
      <c r="B22">
        <f>2.5/4.3</f>
        <v>0.58139534883720934</v>
      </c>
      <c r="C22">
        <f>0.08/0.13</f>
        <v>0.61538461538461542</v>
      </c>
    </row>
    <row r="23" spans="1:14" x14ac:dyDescent="0.25">
      <c r="A23">
        <v>2035</v>
      </c>
      <c r="B23">
        <f>(B22+B24)/2</f>
        <v>0.53488372093023262</v>
      </c>
      <c r="C23">
        <f>(C22+C24)/2</f>
        <v>0.53846153846153844</v>
      </c>
    </row>
    <row r="24" spans="1:14" x14ac:dyDescent="0.25">
      <c r="A24">
        <v>2040</v>
      </c>
      <c r="B24">
        <f>2.1/4.3</f>
        <v>0.48837209302325585</v>
      </c>
      <c r="C24">
        <f>0.06/0.13</f>
        <v>0.46153846153846151</v>
      </c>
    </row>
    <row r="25" spans="1:14" x14ac:dyDescent="0.25">
      <c r="A25">
        <v>2045</v>
      </c>
      <c r="B25">
        <f>(B24+B26)/2</f>
        <v>0.47674418604651164</v>
      </c>
      <c r="C25">
        <f>(C24+C26)/2</f>
        <v>0.42307692307692307</v>
      </c>
    </row>
    <row r="26" spans="1:14" x14ac:dyDescent="0.25">
      <c r="A26">
        <v>2050</v>
      </c>
      <c r="B26">
        <f>2/4.3</f>
        <v>0.46511627906976744</v>
      </c>
      <c r="C26">
        <f>0.05/0.13</f>
        <v>0.38461538461538464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C19" sqref="C19"/>
    </sheetView>
  </sheetViews>
  <sheetFormatPr defaultRowHeight="15" x14ac:dyDescent="0.25"/>
  <sheetData>
    <row r="1" spans="1:10" x14ac:dyDescent="0.25">
      <c r="B1" t="s">
        <v>116</v>
      </c>
      <c r="H1" t="s">
        <v>132</v>
      </c>
      <c r="I1" t="s">
        <v>133</v>
      </c>
    </row>
    <row r="2" spans="1:10" x14ac:dyDescent="0.25">
      <c r="A2">
        <v>2020</v>
      </c>
      <c r="B2">
        <f>1.75+0.25</f>
        <v>2</v>
      </c>
      <c r="C2">
        <f>0.16+0.11</f>
        <v>0.27</v>
      </c>
      <c r="D2">
        <f>B2+C2</f>
        <v>2.27</v>
      </c>
      <c r="G2" t="s">
        <v>131</v>
      </c>
      <c r="H2">
        <v>1.0289999999999999</v>
      </c>
      <c r="I2">
        <v>1.1000000000000001</v>
      </c>
      <c r="J2">
        <f>H2*I2</f>
        <v>1.1318999999999999</v>
      </c>
    </row>
    <row r="3" spans="1:10" x14ac:dyDescent="0.25">
      <c r="A3">
        <v>2025</v>
      </c>
      <c r="B3">
        <f>1.75+0.25</f>
        <v>2</v>
      </c>
      <c r="C3">
        <f t="shared" ref="C3:C6" si="0">0.16+0.11</f>
        <v>0.27</v>
      </c>
      <c r="D3">
        <f t="shared" ref="D3:D6" si="1">B3+C3</f>
        <v>2.27</v>
      </c>
    </row>
    <row r="4" spans="1:10" x14ac:dyDescent="0.25">
      <c r="A4">
        <v>2030</v>
      </c>
      <c r="B4">
        <f>1.5+1</f>
        <v>2.5</v>
      </c>
      <c r="C4">
        <f t="shared" si="0"/>
        <v>0.27</v>
      </c>
      <c r="D4">
        <f t="shared" si="1"/>
        <v>2.77</v>
      </c>
    </row>
    <row r="5" spans="1:10" x14ac:dyDescent="0.25">
      <c r="A5">
        <v>2040</v>
      </c>
      <c r="B5">
        <f>1.286+0.203</f>
        <v>1.4890000000000001</v>
      </c>
      <c r="C5">
        <f t="shared" si="0"/>
        <v>0.27</v>
      </c>
      <c r="D5">
        <f t="shared" si="1"/>
        <v>1.7590000000000001</v>
      </c>
    </row>
    <row r="6" spans="1:10" x14ac:dyDescent="0.25">
      <c r="A6">
        <v>2050</v>
      </c>
      <c r="B6">
        <f>1.012+0.182</f>
        <v>1.194</v>
      </c>
      <c r="C6">
        <f t="shared" si="0"/>
        <v>0.27</v>
      </c>
      <c r="D6">
        <f t="shared" si="1"/>
        <v>1.464</v>
      </c>
    </row>
    <row r="7" spans="1:10" x14ac:dyDescent="0.25">
      <c r="G7" t="s">
        <v>111</v>
      </c>
    </row>
    <row r="8" spans="1:10" x14ac:dyDescent="0.25">
      <c r="F8" t="s">
        <v>120</v>
      </c>
      <c r="G8">
        <f>1/(B2+C2)</f>
        <v>0.44052863436123346</v>
      </c>
    </row>
    <row r="10" spans="1:10" x14ac:dyDescent="0.25">
      <c r="A10" t="s">
        <v>117</v>
      </c>
      <c r="B10" t="s">
        <v>118</v>
      </c>
      <c r="C10" t="s">
        <v>119</v>
      </c>
      <c r="F10" t="s">
        <v>122</v>
      </c>
      <c r="G10" t="s">
        <v>121</v>
      </c>
      <c r="H10" t="s">
        <v>123</v>
      </c>
    </row>
    <row r="11" spans="1:10" x14ac:dyDescent="0.25">
      <c r="A11">
        <v>2020</v>
      </c>
      <c r="B11">
        <f>6.5*10^6*J2</f>
        <v>7357349.9999999991</v>
      </c>
      <c r="C11">
        <f>0.34*10^6*J2</f>
        <v>384845.99999999994</v>
      </c>
      <c r="G11">
        <f>$G$8*B11</f>
        <v>3241123.3480176204</v>
      </c>
      <c r="H11">
        <f>$G$8*C11</f>
        <v>169535.68281938322</v>
      </c>
    </row>
    <row r="12" spans="1:10" x14ac:dyDescent="0.25">
      <c r="A12">
        <v>2025</v>
      </c>
      <c r="B12">
        <f>4.8*10^6*J2</f>
        <v>5433120</v>
      </c>
      <c r="C12">
        <f>0.34*10^6*J2</f>
        <v>384845.99999999994</v>
      </c>
      <c r="G12">
        <f t="shared" ref="G12:G17" si="2">$G$8*B12</f>
        <v>2393444.9339207048</v>
      </c>
      <c r="H12">
        <f t="shared" ref="H12:H17" si="3">$G$8*C12</f>
        <v>169535.68281938322</v>
      </c>
    </row>
    <row r="13" spans="1:10" x14ac:dyDescent="0.25">
      <c r="A13">
        <v>2030</v>
      </c>
      <c r="B13">
        <f>3*10^6*J2</f>
        <v>3395699.9999999995</v>
      </c>
      <c r="C13">
        <f>0.34*10^6*J2</f>
        <v>384845.99999999994</v>
      </c>
      <c r="G13">
        <f t="shared" si="2"/>
        <v>1495903.0837004404</v>
      </c>
      <c r="H13">
        <f t="shared" si="3"/>
        <v>169535.68281938322</v>
      </c>
    </row>
    <row r="14" spans="1:10" x14ac:dyDescent="0.25">
      <c r="A14">
        <v>2035</v>
      </c>
      <c r="B14">
        <f>(B13+B15)/2</f>
        <v>2886345</v>
      </c>
      <c r="C14">
        <f>(C13+C15)/2</f>
        <v>384845.99999999994</v>
      </c>
      <c r="G14">
        <f t="shared" si="2"/>
        <v>1271517.6211453744</v>
      </c>
      <c r="H14">
        <f t="shared" si="3"/>
        <v>169535.68281938322</v>
      </c>
    </row>
    <row r="15" spans="1:10" x14ac:dyDescent="0.25">
      <c r="A15">
        <v>2040</v>
      </c>
      <c r="B15">
        <f>2.1*10^6*J2</f>
        <v>2376990</v>
      </c>
      <c r="C15">
        <f>0.34*10^6*J2</f>
        <v>384845.99999999994</v>
      </c>
      <c r="G15">
        <f t="shared" si="2"/>
        <v>1047132.1585903083</v>
      </c>
      <c r="H15">
        <f t="shared" si="3"/>
        <v>169535.68281938322</v>
      </c>
    </row>
    <row r="16" spans="1:10" x14ac:dyDescent="0.25">
      <c r="A16">
        <v>2045</v>
      </c>
      <c r="B16">
        <f>(B15+B17)/2</f>
        <v>2207205</v>
      </c>
      <c r="C16">
        <f>(C15+C17)/2</f>
        <v>384845.99999999994</v>
      </c>
      <c r="G16">
        <f t="shared" si="2"/>
        <v>972337.00440528628</v>
      </c>
      <c r="H16">
        <f t="shared" si="3"/>
        <v>169535.68281938322</v>
      </c>
    </row>
    <row r="17" spans="1:8" x14ac:dyDescent="0.25">
      <c r="A17">
        <v>2050</v>
      </c>
      <c r="B17">
        <f>1.8*10^6*J2</f>
        <v>2037419.9999999998</v>
      </c>
      <c r="C17">
        <f>0.34*10^6*J2</f>
        <v>384845.99999999994</v>
      </c>
      <c r="G17">
        <f t="shared" si="2"/>
        <v>897541.85022026417</v>
      </c>
      <c r="H17">
        <f t="shared" si="3"/>
        <v>169535.68281938322</v>
      </c>
    </row>
    <row r="19" spans="1:8" x14ac:dyDescent="0.25">
      <c r="A19">
        <v>2020</v>
      </c>
      <c r="B19">
        <f>B11/8760</f>
        <v>839.8801369863013</v>
      </c>
      <c r="C19">
        <f>C11/8760</f>
        <v>43.93219178082191</v>
      </c>
    </row>
    <row r="20" spans="1:8" x14ac:dyDescent="0.25">
      <c r="A20">
        <v>2025</v>
      </c>
      <c r="B20">
        <f t="shared" ref="B20:B25" si="4">B12/8760</f>
        <v>620.21917808219177</v>
      </c>
      <c r="C20">
        <f t="shared" ref="C20:C25" si="5">C12/8760</f>
        <v>43.93219178082191</v>
      </c>
    </row>
    <row r="21" spans="1:8" x14ac:dyDescent="0.25">
      <c r="A21">
        <v>2030</v>
      </c>
      <c r="B21">
        <f t="shared" si="4"/>
        <v>387.6369863013698</v>
      </c>
      <c r="C21">
        <f t="shared" si="5"/>
        <v>43.93219178082191</v>
      </c>
    </row>
    <row r="22" spans="1:8" x14ac:dyDescent="0.25">
      <c r="A22">
        <v>2035</v>
      </c>
      <c r="B22">
        <f t="shared" si="4"/>
        <v>329.49143835616439</v>
      </c>
      <c r="C22">
        <f t="shared" si="5"/>
        <v>43.93219178082191</v>
      </c>
    </row>
    <row r="23" spans="1:8" x14ac:dyDescent="0.25">
      <c r="A23">
        <v>2040</v>
      </c>
      <c r="B23">
        <f t="shared" si="4"/>
        <v>271.34589041095893</v>
      </c>
      <c r="C23">
        <f t="shared" si="5"/>
        <v>43.93219178082191</v>
      </c>
    </row>
    <row r="24" spans="1:8" x14ac:dyDescent="0.25">
      <c r="A24">
        <v>2045</v>
      </c>
      <c r="B24">
        <f t="shared" si="4"/>
        <v>251.96404109589042</v>
      </c>
      <c r="C24">
        <f t="shared" si="5"/>
        <v>43.93219178082191</v>
      </c>
    </row>
    <row r="25" spans="1:8" x14ac:dyDescent="0.25">
      <c r="A25">
        <v>2050</v>
      </c>
      <c r="B25">
        <f t="shared" si="4"/>
        <v>232.58219178082189</v>
      </c>
      <c r="C25">
        <f t="shared" si="5"/>
        <v>43.93219178082191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moderate_hydrogen_high_ccs</vt:lpstr>
      <vt:lpstr>moderate_hydrogen</vt:lpstr>
      <vt:lpstr>advance_hydrogen</vt:lpstr>
      <vt:lpstr>conservative_hydrogen</vt:lpstr>
      <vt:lpstr>High_cost_PV</vt:lpstr>
      <vt:lpstr>High_cost_wind</vt:lpstr>
      <vt:lpstr>High_cost_electrolyzer</vt:lpstr>
      <vt:lpstr>High_cost_fuel_cell</vt:lpstr>
      <vt:lpstr>High_cost_tank</vt:lpstr>
      <vt:lpstr>lifetime</vt:lpstr>
      <vt:lpstr>battery</vt:lpstr>
      <vt:lpstr>Solar</vt:lpstr>
      <vt:lpstr>offshore</vt:lpstr>
      <vt:lpstr>land</vt:lpstr>
      <vt:lpstr>nuclear</vt:lpstr>
      <vt:lpstr>coal</vt:lpstr>
      <vt:lpstr>gas</vt:lpstr>
      <vt:lpstr>hydro</vt:lpstr>
      <vt:lpstr>Electrolyzer</vt:lpstr>
      <vt:lpstr>SMR</vt:lpstr>
      <vt:lpstr>Fuel cell</vt:lpstr>
      <vt:lpstr>H2 turbine</vt:lpstr>
      <vt:lpstr>hydrogen storage</vt:lpstr>
      <vt:lpstr>ccs</vt:lpstr>
      <vt:lpstr>DAC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Haozhe Yang</dc:creator>
  <cp:lastModifiedBy>Haozhe Yang</cp:lastModifiedBy>
  <dcterms:created xsi:type="dcterms:W3CDTF">2022-01-06T17:42:46Z</dcterms:created>
  <dcterms:modified xsi:type="dcterms:W3CDTF">2024-06-14T00:15:38Z</dcterms:modified>
</cp:coreProperties>
</file>