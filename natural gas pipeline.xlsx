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y4174/Documents/Hydrogen/"/>
    </mc:Choice>
  </mc:AlternateContent>
  <xr:revisionPtr revIDLastSave="0" documentId="13_ncr:1_{5E50E8CC-81A5-6A48-B879-AF4138A60139}" xr6:coauthVersionLast="47" xr6:coauthVersionMax="47" xr10:uidLastSave="{00000000-0000-0000-0000-000000000000}"/>
  <bookViews>
    <workbookView xWindow="0" yWindow="940" windowWidth="34560" windowHeight="20340" xr2:uid="{17F806D6-A421-9943-8D7A-45EDBAA28D7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" i="1" l="1"/>
  <c r="O3" i="1"/>
  <c r="N4" i="1"/>
  <c r="O4" i="1"/>
  <c r="N5" i="1"/>
  <c r="O5" i="1"/>
  <c r="N6" i="1"/>
  <c r="N7" i="1"/>
  <c r="O7" i="1"/>
  <c r="N8" i="1"/>
  <c r="O8" i="1"/>
  <c r="N9" i="1"/>
  <c r="O9" i="1"/>
  <c r="N10" i="1"/>
  <c r="O10" i="1"/>
  <c r="N11" i="1"/>
  <c r="O11" i="1"/>
  <c r="N12" i="1"/>
  <c r="O12" i="1"/>
  <c r="N13" i="1"/>
  <c r="O13" i="1"/>
  <c r="N14" i="1"/>
  <c r="O14" i="1"/>
  <c r="N15" i="1"/>
  <c r="O15" i="1"/>
  <c r="N16" i="1"/>
  <c r="O16" i="1"/>
  <c r="N17" i="1"/>
  <c r="O17" i="1"/>
  <c r="N18" i="1"/>
  <c r="O18" i="1"/>
  <c r="N19" i="1"/>
  <c r="O19" i="1"/>
  <c r="N20" i="1"/>
  <c r="O20" i="1"/>
  <c r="N21" i="1"/>
  <c r="O21" i="1"/>
  <c r="N22" i="1"/>
  <c r="O22" i="1"/>
  <c r="N23" i="1"/>
  <c r="O23" i="1"/>
  <c r="N24" i="1"/>
  <c r="O24" i="1"/>
  <c r="N25" i="1"/>
  <c r="O25" i="1"/>
  <c r="N26" i="1"/>
  <c r="O26" i="1"/>
  <c r="N27" i="1"/>
  <c r="O27" i="1"/>
  <c r="N28" i="1"/>
  <c r="O28" i="1"/>
  <c r="N29" i="1"/>
  <c r="O29" i="1"/>
  <c r="N30" i="1"/>
  <c r="O30" i="1"/>
  <c r="N31" i="1"/>
  <c r="O31" i="1"/>
  <c r="N32" i="1"/>
  <c r="O32" i="1"/>
  <c r="N33" i="1"/>
  <c r="O33" i="1"/>
  <c r="N34" i="1"/>
  <c r="O34" i="1"/>
  <c r="N35" i="1"/>
  <c r="O35" i="1"/>
  <c r="N36" i="1"/>
  <c r="O36" i="1"/>
  <c r="N37" i="1"/>
  <c r="O37" i="1"/>
  <c r="N38" i="1"/>
  <c r="O38" i="1"/>
  <c r="N39" i="1"/>
  <c r="O39" i="1"/>
  <c r="N40" i="1"/>
  <c r="O40" i="1"/>
  <c r="N41" i="1"/>
  <c r="O41" i="1"/>
  <c r="N42" i="1"/>
  <c r="O42" i="1"/>
  <c r="N43" i="1"/>
  <c r="O43" i="1"/>
  <c r="N44" i="1"/>
  <c r="O44" i="1"/>
  <c r="N45" i="1"/>
  <c r="O45" i="1"/>
  <c r="N46" i="1"/>
  <c r="O46" i="1"/>
  <c r="N47" i="1"/>
  <c r="O47" i="1"/>
  <c r="N48" i="1"/>
  <c r="O48" i="1"/>
  <c r="N49" i="1"/>
  <c r="O49" i="1"/>
  <c r="N50" i="1"/>
  <c r="O50" i="1"/>
  <c r="N51" i="1"/>
  <c r="O51" i="1"/>
  <c r="O2" i="1"/>
  <c r="N2" i="1"/>
  <c r="H51" i="1"/>
  <c r="J51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2" i="1"/>
  <c r="I3" i="1"/>
  <c r="L3" i="1" s="1"/>
  <c r="I4" i="1"/>
  <c r="M4" i="1" s="1"/>
  <c r="I5" i="1"/>
  <c r="L5" i="1" s="1"/>
  <c r="I6" i="1"/>
  <c r="L6" i="1" s="1"/>
  <c r="I7" i="1"/>
  <c r="L7" i="1" s="1"/>
  <c r="I8" i="1"/>
  <c r="L8" i="1" s="1"/>
  <c r="I9" i="1"/>
  <c r="L9" i="1" s="1"/>
  <c r="I10" i="1"/>
  <c r="M10" i="1" s="1"/>
  <c r="I11" i="1"/>
  <c r="L11" i="1" s="1"/>
  <c r="I12" i="1"/>
  <c r="L12" i="1" s="1"/>
  <c r="I13" i="1"/>
  <c r="L13" i="1" s="1"/>
  <c r="I14" i="1"/>
  <c r="L14" i="1" s="1"/>
  <c r="I15" i="1"/>
  <c r="M15" i="1" s="1"/>
  <c r="I16" i="1"/>
  <c r="M16" i="1" s="1"/>
  <c r="I17" i="1"/>
  <c r="L17" i="1" s="1"/>
  <c r="I18" i="1"/>
  <c r="M18" i="1" s="1"/>
  <c r="I19" i="1"/>
  <c r="L19" i="1" s="1"/>
  <c r="I20" i="1"/>
  <c r="M20" i="1" s="1"/>
  <c r="I21" i="1"/>
  <c r="M21" i="1" s="1"/>
  <c r="I22" i="1"/>
  <c r="M22" i="1" s="1"/>
  <c r="I23" i="1"/>
  <c r="L23" i="1" s="1"/>
  <c r="I24" i="1"/>
  <c r="L24" i="1" s="1"/>
  <c r="I25" i="1"/>
  <c r="L25" i="1" s="1"/>
  <c r="I26" i="1"/>
  <c r="M26" i="1" s="1"/>
  <c r="I27" i="1"/>
  <c r="L27" i="1" s="1"/>
  <c r="I28" i="1"/>
  <c r="L28" i="1" s="1"/>
  <c r="I29" i="1"/>
  <c r="L29" i="1" s="1"/>
  <c r="I30" i="1"/>
  <c r="L30" i="1" s="1"/>
  <c r="I31" i="1"/>
  <c r="L31" i="1" s="1"/>
  <c r="I32" i="1"/>
  <c r="L32" i="1" s="1"/>
  <c r="I33" i="1"/>
  <c r="M33" i="1" s="1"/>
  <c r="I34" i="1"/>
  <c r="M34" i="1" s="1"/>
  <c r="I35" i="1"/>
  <c r="L35" i="1" s="1"/>
  <c r="I36" i="1"/>
  <c r="L36" i="1" s="1"/>
  <c r="I37" i="1"/>
  <c r="L37" i="1" s="1"/>
  <c r="I38" i="1"/>
  <c r="L38" i="1" s="1"/>
  <c r="I39" i="1"/>
  <c r="L39" i="1" s="1"/>
  <c r="I40" i="1"/>
  <c r="M40" i="1" s="1"/>
  <c r="I41" i="1"/>
  <c r="M41" i="1" s="1"/>
  <c r="I42" i="1"/>
  <c r="M42" i="1" s="1"/>
  <c r="I43" i="1"/>
  <c r="L43" i="1" s="1"/>
  <c r="I44" i="1"/>
  <c r="M44" i="1" s="1"/>
  <c r="I45" i="1"/>
  <c r="L45" i="1" s="1"/>
  <c r="I46" i="1"/>
  <c r="L46" i="1" s="1"/>
  <c r="I47" i="1"/>
  <c r="L47" i="1" s="1"/>
  <c r="I48" i="1"/>
  <c r="L48" i="1" s="1"/>
  <c r="I49" i="1"/>
  <c r="L49" i="1" s="1"/>
  <c r="I50" i="1"/>
  <c r="M50" i="1" s="1"/>
  <c r="I51" i="1"/>
  <c r="L51" i="1" s="1"/>
  <c r="I2" i="1"/>
  <c r="M2" i="1" s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2" i="1"/>
  <c r="M49" i="1" l="1"/>
  <c r="L33" i="1"/>
  <c r="L50" i="1"/>
  <c r="L34" i="1"/>
  <c r="M17" i="1"/>
  <c r="M32" i="1"/>
  <c r="M48" i="1"/>
  <c r="M25" i="1"/>
  <c r="M7" i="1"/>
  <c r="L16" i="1"/>
  <c r="L15" i="1"/>
  <c r="M14" i="1"/>
  <c r="L10" i="1"/>
  <c r="M46" i="1"/>
  <c r="M9" i="1"/>
  <c r="M8" i="1"/>
  <c r="L41" i="1"/>
  <c r="L40" i="1"/>
  <c r="M23" i="1"/>
  <c r="M31" i="1"/>
  <c r="M47" i="1"/>
  <c r="M30" i="1"/>
  <c r="M24" i="1"/>
  <c r="M39" i="1"/>
  <c r="L4" i="1"/>
  <c r="L26" i="1"/>
  <c r="L42" i="1"/>
  <c r="L18" i="1"/>
  <c r="M38" i="1"/>
  <c r="M6" i="1"/>
  <c r="L2" i="1"/>
  <c r="L22" i="1"/>
  <c r="M45" i="1"/>
  <c r="M29" i="1"/>
  <c r="M13" i="1"/>
  <c r="L21" i="1"/>
  <c r="M51" i="1"/>
  <c r="M36" i="1"/>
  <c r="M28" i="1"/>
  <c r="M12" i="1"/>
  <c r="L44" i="1"/>
  <c r="L20" i="1"/>
  <c r="M43" i="1"/>
  <c r="M35" i="1"/>
  <c r="M27" i="1"/>
  <c r="M19" i="1"/>
  <c r="M11" i="1"/>
  <c r="M3" i="1"/>
  <c r="M37" i="1"/>
  <c r="M5" i="1"/>
</calcChain>
</file>

<file path=xl/sharedStrings.xml><?xml version="1.0" encoding="utf-8"?>
<sst xmlns="http://schemas.openxmlformats.org/spreadsheetml/2006/main" count="171" uniqueCount="43">
  <si>
    <t>Number</t>
  </si>
  <si>
    <t>Province</t>
  </si>
  <si>
    <t>2020 (Bcm)</t>
  </si>
  <si>
    <t>Anhui</t>
  </si>
  <si>
    <t>Henan</t>
  </si>
  <si>
    <t>Jiangsu</t>
  </si>
  <si>
    <t>Zhejiang</t>
  </si>
  <si>
    <t>Beijing</t>
  </si>
  <si>
    <t>Hebei</t>
  </si>
  <si>
    <t>Inner Mongolia</t>
  </si>
  <si>
    <t>Chongqing</t>
  </si>
  <si>
    <t>Hubei</t>
  </si>
  <si>
    <t>Sichuan</t>
  </si>
  <si>
    <t>Fujian</t>
  </si>
  <si>
    <t>Jiangxi</t>
  </si>
  <si>
    <t>Gansu</t>
  </si>
  <si>
    <t>Ningxia</t>
  </si>
  <si>
    <t>Qinghai</t>
  </si>
  <si>
    <t>Shaanxi</t>
  </si>
  <si>
    <t>Guangdong</t>
  </si>
  <si>
    <t>Guangxi</t>
  </si>
  <si>
    <t>Hainan</t>
  </si>
  <si>
    <t>Guizhou</t>
  </si>
  <si>
    <t>Hunan</t>
  </si>
  <si>
    <t>Yunnan</t>
  </si>
  <si>
    <t>Liaoning</t>
  </si>
  <si>
    <t>Shandong</t>
  </si>
  <si>
    <t>Shanxi</t>
  </si>
  <si>
    <t>Tianjin</t>
  </si>
  <si>
    <t>Heilongjiang</t>
  </si>
  <si>
    <t>Jilin</t>
  </si>
  <si>
    <t>Xinjiang</t>
  </si>
  <si>
    <t>Shanghai</t>
  </si>
  <si>
    <t>2030-2050 (Bcm)</t>
  </si>
  <si>
    <t>West_Inner_Mongolia</t>
  </si>
  <si>
    <t>Bejing</t>
  </si>
  <si>
    <t>Tianjing</t>
  </si>
  <si>
    <t>Jining</t>
  </si>
  <si>
    <t>energy_mw</t>
  </si>
  <si>
    <t>loss</t>
  </si>
  <si>
    <t>from</t>
  </si>
  <si>
    <t>to</t>
  </si>
  <si>
    <t>East_Inner_Mongolia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</si>
</sst>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C2287-1389-2147-96BC-B25D98A670E8}">
  <dimension ref="A1:AY51"/>
  <sheetViews>
    <sheetView tabSelected="1" workbookViewId="0">
      <selection activeCell="H6" sqref="H6"/>
    </sheetView>
  </sheetViews>
  <sheetFormatPr baseColWidth="10" defaultRowHeight="16" x14ac:dyDescent="0.2"/>
  <cols>
    <col min="7" max="7" width="18.83203125" customWidth="1"/>
  </cols>
  <sheetData>
    <row r="1" spans="1:51" x14ac:dyDescent="0.2">
      <c r="A1" s="1" t="s">
        <v>0</v>
      </c>
      <c r="B1" s="1" t="s">
        <v>1</v>
      </c>
      <c r="C1" s="1" t="s">
        <v>0</v>
      </c>
      <c r="D1" s="1" t="s">
        <v>1</v>
      </c>
      <c r="E1" s="1" t="s">
        <v>2</v>
      </c>
      <c r="F1" s="1" t="s">
        <v>33</v>
      </c>
      <c r="I1" t="s">
        <v>38</v>
      </c>
      <c r="J1" t="s">
        <v>39</v>
      </c>
      <c r="N1" t="s">
        <v>40</v>
      </c>
      <c r="O1" t="s">
        <v>41</v>
      </c>
      <c r="V1">
        <v>1</v>
      </c>
      <c r="W1">
        <v>2</v>
      </c>
      <c r="X1">
        <v>3</v>
      </c>
      <c r="Y1">
        <v>4</v>
      </c>
      <c r="Z1">
        <v>5</v>
      </c>
      <c r="AA1">
        <v>6</v>
      </c>
      <c r="AB1">
        <v>7</v>
      </c>
    </row>
    <row r="2" spans="1:51" x14ac:dyDescent="0.2">
      <c r="A2" s="1">
        <v>1</v>
      </c>
      <c r="B2" s="1" t="s">
        <v>3</v>
      </c>
      <c r="C2" s="1">
        <v>12</v>
      </c>
      <c r="D2" s="1" t="s">
        <v>4</v>
      </c>
      <c r="E2" s="1">
        <v>3.3</v>
      </c>
      <c r="F2" s="1">
        <v>28</v>
      </c>
      <c r="H2" t="str">
        <f t="shared" ref="H2:H33" si="0">_xlfn.CONCAT("NG_",B2,"_",D2)</f>
        <v>NG_Anhui_Henan</v>
      </c>
      <c r="I2">
        <f>E2/8760*10*10^6/3</f>
        <v>1255.7077625570776</v>
      </c>
      <c r="J2">
        <f t="shared" ref="J2:J33" si="1">VLOOKUP(B2,$U$3:$AY$32,C2+1,FALSE)*0.013/1000</f>
        <v>6.0736301599999994E-3</v>
      </c>
      <c r="L2">
        <f>-I2</f>
        <v>-1255.7077625570776</v>
      </c>
      <c r="M2">
        <f>I2</f>
        <v>1255.7077625570776</v>
      </c>
      <c r="N2" t="str">
        <f>B2</f>
        <v>Anhui</v>
      </c>
      <c r="O2" t="str">
        <f>D2</f>
        <v>Henan</v>
      </c>
      <c r="V2" s="2" t="s">
        <v>3</v>
      </c>
      <c r="W2" s="2" t="s">
        <v>35</v>
      </c>
      <c r="X2" s="2" t="s">
        <v>10</v>
      </c>
      <c r="Y2" s="2" t="s">
        <v>13</v>
      </c>
      <c r="Z2" s="2" t="s">
        <v>15</v>
      </c>
      <c r="AA2" s="2" t="s">
        <v>19</v>
      </c>
      <c r="AB2" s="2" t="s">
        <v>20</v>
      </c>
      <c r="AC2" s="2" t="s">
        <v>22</v>
      </c>
      <c r="AD2" s="2" t="s">
        <v>21</v>
      </c>
      <c r="AE2" s="2" t="s">
        <v>8</v>
      </c>
      <c r="AF2" s="2" t="s">
        <v>29</v>
      </c>
      <c r="AG2" s="2" t="s">
        <v>4</v>
      </c>
      <c r="AH2" s="2" t="s">
        <v>11</v>
      </c>
      <c r="AI2" s="2" t="s">
        <v>23</v>
      </c>
      <c r="AJ2" s="2" t="s">
        <v>9</v>
      </c>
      <c r="AK2" s="2" t="s">
        <v>5</v>
      </c>
      <c r="AL2" s="2" t="s">
        <v>14</v>
      </c>
      <c r="AM2" s="2" t="s">
        <v>37</v>
      </c>
      <c r="AN2" s="2" t="s">
        <v>25</v>
      </c>
      <c r="AO2" s="2" t="s">
        <v>16</v>
      </c>
      <c r="AP2" s="2" t="s">
        <v>17</v>
      </c>
      <c r="AQ2" s="2" t="s">
        <v>18</v>
      </c>
      <c r="AR2" s="2" t="s">
        <v>26</v>
      </c>
      <c r="AS2" s="2" t="s">
        <v>32</v>
      </c>
      <c r="AT2" s="2" t="s">
        <v>27</v>
      </c>
      <c r="AU2" s="2" t="s">
        <v>12</v>
      </c>
      <c r="AV2" s="2" t="s">
        <v>36</v>
      </c>
      <c r="AW2" s="2" t="s">
        <v>31</v>
      </c>
      <c r="AX2" s="2" t="s">
        <v>24</v>
      </c>
      <c r="AY2" s="2" t="s">
        <v>6</v>
      </c>
    </row>
    <row r="3" spans="1:51" x14ac:dyDescent="0.2">
      <c r="A3" s="1">
        <v>1</v>
      </c>
      <c r="B3" s="1" t="s">
        <v>3</v>
      </c>
      <c r="C3" s="1">
        <v>16</v>
      </c>
      <c r="D3" s="1" t="s">
        <v>5</v>
      </c>
      <c r="E3" s="1">
        <v>5.8</v>
      </c>
      <c r="F3" s="1">
        <v>39</v>
      </c>
      <c r="H3" t="str">
        <f t="shared" si="0"/>
        <v>NG_Anhui_Jiangsu</v>
      </c>
      <c r="I3">
        <f t="shared" ref="I3:I50" si="2">E3/8760*10*10^6/3</f>
        <v>2207.0015220700152</v>
      </c>
      <c r="J3">
        <f t="shared" si="1"/>
        <v>3.078593466E-3</v>
      </c>
      <c r="L3">
        <f t="shared" ref="L3:L51" si="3">-I3</f>
        <v>-2207.0015220700152</v>
      </c>
      <c r="M3">
        <f t="shared" ref="M3:M51" si="4">I3</f>
        <v>2207.0015220700152</v>
      </c>
      <c r="N3" t="str">
        <f t="shared" ref="N3:N51" si="5">B3</f>
        <v>Anhui</v>
      </c>
      <c r="O3" t="str">
        <f t="shared" ref="O3:O51" si="6">D3</f>
        <v>Jiangsu</v>
      </c>
      <c r="T3">
        <v>1</v>
      </c>
      <c r="U3" s="2" t="s">
        <v>3</v>
      </c>
      <c r="V3">
        <v>0</v>
      </c>
      <c r="W3">
        <v>899.10792700000002</v>
      </c>
      <c r="X3">
        <v>1066.0463099999999</v>
      </c>
      <c r="Y3">
        <v>650.02847399999996</v>
      </c>
      <c r="Z3">
        <v>1331.7074930000001</v>
      </c>
      <c r="AA3">
        <v>1045.7572009999999</v>
      </c>
      <c r="AB3">
        <v>1338.011839</v>
      </c>
      <c r="AC3">
        <v>1181.542252</v>
      </c>
      <c r="AD3">
        <v>1487.340786</v>
      </c>
      <c r="AE3">
        <v>705.59502699999996</v>
      </c>
      <c r="AF3">
        <v>1971.4823490000001</v>
      </c>
      <c r="AG3">
        <v>467.20231999999999</v>
      </c>
      <c r="AH3">
        <v>317.305995</v>
      </c>
      <c r="AI3">
        <v>577.99087899999995</v>
      </c>
      <c r="AJ3">
        <v>1213.8905580000001</v>
      </c>
      <c r="AK3">
        <v>236.81488200000001</v>
      </c>
      <c r="AL3">
        <v>377.48585800000001</v>
      </c>
      <c r="AM3">
        <v>1510.9297529999999</v>
      </c>
      <c r="AN3">
        <v>1230.4628009999999</v>
      </c>
      <c r="AO3">
        <v>1183.489096</v>
      </c>
      <c r="AP3">
        <v>1954.8830390000001</v>
      </c>
      <c r="AQ3">
        <v>821.00136599999996</v>
      </c>
      <c r="AR3">
        <v>535.98742600000003</v>
      </c>
      <c r="AS3">
        <v>411.32388800000001</v>
      </c>
      <c r="AT3">
        <v>795.77744499999994</v>
      </c>
      <c r="AU3">
        <v>1262.393779</v>
      </c>
      <c r="AV3">
        <v>808.65989999999999</v>
      </c>
      <c r="AW3">
        <v>2896.1372799999999</v>
      </c>
      <c r="AX3">
        <v>1609.3007439999999</v>
      </c>
      <c r="AY3">
        <v>329.56703599999997</v>
      </c>
    </row>
    <row r="4" spans="1:51" x14ac:dyDescent="0.2">
      <c r="A4" s="1">
        <v>1</v>
      </c>
      <c r="B4" s="1" t="s">
        <v>3</v>
      </c>
      <c r="C4" s="1">
        <v>30</v>
      </c>
      <c r="D4" s="1" t="s">
        <v>6</v>
      </c>
      <c r="E4" s="1">
        <v>12</v>
      </c>
      <c r="F4" s="1">
        <v>78.8</v>
      </c>
      <c r="H4" t="str">
        <f t="shared" si="0"/>
        <v>NG_Anhui_Zhejiang</v>
      </c>
      <c r="I4">
        <f t="shared" si="2"/>
        <v>4566.2100456621001</v>
      </c>
      <c r="J4">
        <f t="shared" si="1"/>
        <v>4.2843714680000002E-3</v>
      </c>
      <c r="L4">
        <f t="shared" si="3"/>
        <v>-4566.2100456621001</v>
      </c>
      <c r="M4">
        <f t="shared" si="4"/>
        <v>4566.2100456621001</v>
      </c>
      <c r="N4" t="str">
        <f t="shared" si="5"/>
        <v>Anhui</v>
      </c>
      <c r="O4" t="str">
        <f t="shared" si="6"/>
        <v>Zhejiang</v>
      </c>
      <c r="T4">
        <v>2</v>
      </c>
      <c r="U4" s="2" t="s">
        <v>7</v>
      </c>
      <c r="V4">
        <v>899.10792700000002</v>
      </c>
      <c r="W4">
        <v>0</v>
      </c>
      <c r="X4">
        <v>1465.478149</v>
      </c>
      <c r="Y4">
        <v>1548.0813499999999</v>
      </c>
      <c r="Z4">
        <v>1191.2782569999999</v>
      </c>
      <c r="AA4">
        <v>1886.4190719999999</v>
      </c>
      <c r="AB4">
        <v>2047.8429719999999</v>
      </c>
      <c r="AC4">
        <v>1734.455919</v>
      </c>
      <c r="AD4">
        <v>2287.1241570000002</v>
      </c>
      <c r="AE4">
        <v>224.418701</v>
      </c>
      <c r="AF4">
        <v>1249.863325</v>
      </c>
      <c r="AG4">
        <v>622.60632099999998</v>
      </c>
      <c r="AH4">
        <v>1055.2823599999999</v>
      </c>
      <c r="AI4">
        <v>1338.1966629999999</v>
      </c>
      <c r="AJ4">
        <v>451.53582999999998</v>
      </c>
      <c r="AK4">
        <v>925.49470599999995</v>
      </c>
      <c r="AL4">
        <v>1249.9848059999999</v>
      </c>
      <c r="AM4">
        <v>860.20388500000001</v>
      </c>
      <c r="AN4">
        <v>621.97118</v>
      </c>
      <c r="AO4">
        <v>921.46307300000001</v>
      </c>
      <c r="AP4">
        <v>1753.619848</v>
      </c>
      <c r="AQ4">
        <v>912.20157900000004</v>
      </c>
      <c r="AR4">
        <v>363.95379700000001</v>
      </c>
      <c r="AS4">
        <v>1074.359837</v>
      </c>
      <c r="AT4">
        <v>406.03623700000003</v>
      </c>
      <c r="AU4">
        <v>1518.495021</v>
      </c>
      <c r="AV4">
        <v>110.003361</v>
      </c>
      <c r="AW4">
        <v>2405.8703639999999</v>
      </c>
      <c r="AX4">
        <v>2087.3907439999998</v>
      </c>
      <c r="AY4">
        <v>1126.57574</v>
      </c>
    </row>
    <row r="5" spans="1:51" x14ac:dyDescent="0.2">
      <c r="A5" s="1">
        <v>2</v>
      </c>
      <c r="B5" s="1" t="s">
        <v>7</v>
      </c>
      <c r="C5" s="1">
        <v>10</v>
      </c>
      <c r="D5" s="1" t="s">
        <v>8</v>
      </c>
      <c r="E5" s="1">
        <v>30</v>
      </c>
      <c r="F5" s="1">
        <v>30</v>
      </c>
      <c r="H5" t="str">
        <f t="shared" si="0"/>
        <v>NG_Beijing_Hebei</v>
      </c>
      <c r="I5">
        <f t="shared" si="2"/>
        <v>11415.525114155251</v>
      </c>
      <c r="J5">
        <f t="shared" si="1"/>
        <v>2.917443113E-3</v>
      </c>
      <c r="L5">
        <f t="shared" si="3"/>
        <v>-11415.525114155251</v>
      </c>
      <c r="M5">
        <f t="shared" si="4"/>
        <v>11415.525114155251</v>
      </c>
      <c r="N5" t="str">
        <f t="shared" si="5"/>
        <v>Beijing</v>
      </c>
      <c r="O5" t="str">
        <f t="shared" si="6"/>
        <v>Hebei</v>
      </c>
      <c r="T5">
        <v>3</v>
      </c>
      <c r="U5" s="2" t="s">
        <v>10</v>
      </c>
      <c r="V5">
        <v>1066.0463099999999</v>
      </c>
      <c r="W5">
        <v>1465.478149</v>
      </c>
      <c r="X5">
        <v>0</v>
      </c>
      <c r="Y5">
        <v>1227.2498029999999</v>
      </c>
      <c r="Z5">
        <v>762.47235999999998</v>
      </c>
      <c r="AA5">
        <v>980.93013399999995</v>
      </c>
      <c r="AB5">
        <v>772.57002399999999</v>
      </c>
      <c r="AC5">
        <v>334.60892999999999</v>
      </c>
      <c r="AD5">
        <v>1132.27685</v>
      </c>
      <c r="AE5">
        <v>1256.82638</v>
      </c>
      <c r="AF5">
        <v>2715.270833</v>
      </c>
      <c r="AG5">
        <v>890.37348299999996</v>
      </c>
      <c r="AH5">
        <v>763.487481</v>
      </c>
      <c r="AI5">
        <v>654.99955499999999</v>
      </c>
      <c r="AJ5">
        <v>1440.830991</v>
      </c>
      <c r="AK5">
        <v>1302.0372339999999</v>
      </c>
      <c r="AL5">
        <v>922.907014</v>
      </c>
      <c r="AM5">
        <v>2307.120578</v>
      </c>
      <c r="AN5">
        <v>2039.8239189999999</v>
      </c>
      <c r="AO5">
        <v>878.60371599999996</v>
      </c>
      <c r="AP5">
        <v>1191.6333010000001</v>
      </c>
      <c r="AQ5">
        <v>573.35416999999995</v>
      </c>
      <c r="AR5">
        <v>1259.6494660000001</v>
      </c>
      <c r="AS5">
        <v>1458.9348150000001</v>
      </c>
      <c r="AT5">
        <v>1080.264021</v>
      </c>
      <c r="AU5">
        <v>259.81929100000002</v>
      </c>
      <c r="AV5">
        <v>1448.854691</v>
      </c>
      <c r="AW5">
        <v>2290.749953</v>
      </c>
      <c r="AX5">
        <v>622.05093099999999</v>
      </c>
      <c r="AY5">
        <v>1326.67741</v>
      </c>
    </row>
    <row r="6" spans="1:51" x14ac:dyDescent="0.2">
      <c r="A6" s="1">
        <v>2</v>
      </c>
      <c r="B6" s="1" t="s">
        <v>7</v>
      </c>
      <c r="C6" s="1">
        <v>15</v>
      </c>
      <c r="D6" s="1" t="s">
        <v>42</v>
      </c>
      <c r="E6" s="1">
        <v>29</v>
      </c>
      <c r="F6" s="1">
        <v>52.1</v>
      </c>
      <c r="H6" t="str">
        <f t="shared" si="0"/>
        <v>NG_Beijing_East_Inner_Mongolia</v>
      </c>
      <c r="I6">
        <f t="shared" si="2"/>
        <v>11035.007610350076</v>
      </c>
      <c r="J6">
        <f t="shared" si="1"/>
        <v>5.869965789999999E-3</v>
      </c>
      <c r="L6">
        <f t="shared" si="3"/>
        <v>-11035.007610350076</v>
      </c>
      <c r="M6">
        <f t="shared" si="4"/>
        <v>11035.007610350076</v>
      </c>
      <c r="N6" t="str">
        <f t="shared" si="5"/>
        <v>Beijing</v>
      </c>
      <c r="O6" t="s">
        <v>42</v>
      </c>
      <c r="T6">
        <v>4</v>
      </c>
      <c r="U6" s="2" t="s">
        <v>13</v>
      </c>
      <c r="V6">
        <v>650.02847399999996</v>
      </c>
      <c r="W6">
        <v>1548.0813499999999</v>
      </c>
      <c r="X6">
        <v>1227.2498029999999</v>
      </c>
      <c r="Y6">
        <v>0</v>
      </c>
      <c r="Z6">
        <v>1771.004999</v>
      </c>
      <c r="AA6">
        <v>606.100595</v>
      </c>
      <c r="AB6">
        <v>1072.8086679999999</v>
      </c>
      <c r="AC6">
        <v>1155.289158</v>
      </c>
      <c r="AD6">
        <v>1056.2205710000001</v>
      </c>
      <c r="AE6">
        <v>1354.82518</v>
      </c>
      <c r="AF6">
        <v>2543.6195899999998</v>
      </c>
      <c r="AG6">
        <v>1063.135282</v>
      </c>
      <c r="AH6">
        <v>635.379008</v>
      </c>
      <c r="AI6">
        <v>575.47079599999995</v>
      </c>
      <c r="AJ6">
        <v>1851.8814420000001</v>
      </c>
      <c r="AK6">
        <v>678.91895799999998</v>
      </c>
      <c r="AL6">
        <v>373.78612299999998</v>
      </c>
      <c r="AM6">
        <v>2078.852476</v>
      </c>
      <c r="AN6">
        <v>1808.517611</v>
      </c>
      <c r="AO6">
        <v>1698.700094</v>
      </c>
      <c r="AP6">
        <v>2347.4705060000001</v>
      </c>
      <c r="AQ6">
        <v>1277.733479</v>
      </c>
      <c r="AR6">
        <v>1184.229433</v>
      </c>
      <c r="AS6">
        <v>651.43436699999995</v>
      </c>
      <c r="AT6">
        <v>1417.8431760000001</v>
      </c>
      <c r="AU6">
        <v>1481.43851</v>
      </c>
      <c r="AV6">
        <v>1454.7118889999999</v>
      </c>
      <c r="AW6">
        <v>3382.6497410000002</v>
      </c>
      <c r="AX6">
        <v>1564.7370539999999</v>
      </c>
      <c r="AY6">
        <v>501.03328599999998</v>
      </c>
    </row>
    <row r="7" spans="1:51" x14ac:dyDescent="0.2">
      <c r="A7" s="1">
        <v>3</v>
      </c>
      <c r="B7" s="1" t="s">
        <v>10</v>
      </c>
      <c r="C7" s="1">
        <v>13</v>
      </c>
      <c r="D7" s="1" t="s">
        <v>11</v>
      </c>
      <c r="E7" s="1">
        <v>19</v>
      </c>
      <c r="F7" s="1">
        <v>19</v>
      </c>
      <c r="H7" t="str">
        <f t="shared" si="0"/>
        <v>NG_Chongqing_Hubei</v>
      </c>
      <c r="I7">
        <f t="shared" si="2"/>
        <v>7229.8325722983254</v>
      </c>
      <c r="J7">
        <f t="shared" si="1"/>
        <v>9.9253372530000005E-3</v>
      </c>
      <c r="L7">
        <f t="shared" si="3"/>
        <v>-7229.8325722983254</v>
      </c>
      <c r="M7">
        <f t="shared" si="4"/>
        <v>7229.8325722983254</v>
      </c>
      <c r="N7" t="str">
        <f t="shared" si="5"/>
        <v>Chongqing</v>
      </c>
      <c r="O7" t="str">
        <f t="shared" si="6"/>
        <v>Hubei</v>
      </c>
      <c r="T7">
        <v>5</v>
      </c>
      <c r="U7" s="2" t="s">
        <v>15</v>
      </c>
      <c r="V7">
        <v>1331.7074930000001</v>
      </c>
      <c r="W7">
        <v>1191.2782569999999</v>
      </c>
      <c r="X7">
        <v>762.47235999999998</v>
      </c>
      <c r="Y7">
        <v>1771.004999</v>
      </c>
      <c r="Z7">
        <v>0</v>
      </c>
      <c r="AA7">
        <v>1697.9638110000001</v>
      </c>
      <c r="AB7">
        <v>1533.942211</v>
      </c>
      <c r="AC7">
        <v>1089.9607450000001</v>
      </c>
      <c r="AD7">
        <v>1894.324134</v>
      </c>
      <c r="AE7">
        <v>1065.647383</v>
      </c>
      <c r="AF7">
        <v>2353.495883</v>
      </c>
      <c r="AG7">
        <v>909.37810500000001</v>
      </c>
      <c r="AH7">
        <v>1152.6340640000001</v>
      </c>
      <c r="AI7">
        <v>1230.411439</v>
      </c>
      <c r="AJ7">
        <v>940.08798999999999</v>
      </c>
      <c r="AK7">
        <v>1541.6089910000001</v>
      </c>
      <c r="AL7">
        <v>1403.056239</v>
      </c>
      <c r="AM7">
        <v>2030.5816689999999</v>
      </c>
      <c r="AN7">
        <v>1811.868665</v>
      </c>
      <c r="AO7">
        <v>276.29048699999998</v>
      </c>
      <c r="AP7">
        <v>628.47460599999999</v>
      </c>
      <c r="AQ7">
        <v>513.26971600000002</v>
      </c>
      <c r="AR7">
        <v>1189.340152</v>
      </c>
      <c r="AS7">
        <v>1732.3902069999999</v>
      </c>
      <c r="AT7">
        <v>807.76972599999999</v>
      </c>
      <c r="AU7">
        <v>597.54670499999997</v>
      </c>
      <c r="AV7">
        <v>1234.3464919999999</v>
      </c>
      <c r="AW7">
        <v>1612.48504</v>
      </c>
      <c r="AX7">
        <v>1225.016138</v>
      </c>
      <c r="AY7">
        <v>1658.873137</v>
      </c>
    </row>
    <row r="8" spans="1:51" x14ac:dyDescent="0.2">
      <c r="A8" s="1">
        <v>3</v>
      </c>
      <c r="B8" s="1" t="s">
        <v>10</v>
      </c>
      <c r="C8" s="1">
        <v>26</v>
      </c>
      <c r="D8" s="1" t="s">
        <v>12</v>
      </c>
      <c r="E8" s="1">
        <v>62.6</v>
      </c>
      <c r="F8" s="1">
        <v>84</v>
      </c>
      <c r="H8" t="str">
        <f t="shared" si="0"/>
        <v>NG_Chongqing_Sichuan</v>
      </c>
      <c r="I8">
        <f t="shared" si="2"/>
        <v>23820.395738203963</v>
      </c>
      <c r="J8">
        <f t="shared" si="1"/>
        <v>3.3776507830000002E-3</v>
      </c>
      <c r="L8">
        <f t="shared" si="3"/>
        <v>-23820.395738203963</v>
      </c>
      <c r="M8">
        <f t="shared" si="4"/>
        <v>23820.395738203963</v>
      </c>
      <c r="N8" t="str">
        <f t="shared" si="5"/>
        <v>Chongqing</v>
      </c>
      <c r="O8" t="str">
        <f t="shared" si="6"/>
        <v>Sichuan</v>
      </c>
      <c r="T8">
        <v>6</v>
      </c>
      <c r="U8" s="2" t="s">
        <v>19</v>
      </c>
      <c r="V8">
        <v>1045.7572009999999</v>
      </c>
      <c r="W8">
        <v>1886.4190719999999</v>
      </c>
      <c r="X8">
        <v>980.93013399999995</v>
      </c>
      <c r="Y8">
        <v>606.100595</v>
      </c>
      <c r="Z8">
        <v>1697.9638110000001</v>
      </c>
      <c r="AA8">
        <v>0</v>
      </c>
      <c r="AB8">
        <v>504.339696</v>
      </c>
      <c r="AC8">
        <v>758.19956300000001</v>
      </c>
      <c r="AD8">
        <v>459.91477099999997</v>
      </c>
      <c r="AE8">
        <v>1666.903824</v>
      </c>
      <c r="AF8">
        <v>3017.2393729999999</v>
      </c>
      <c r="AG8">
        <v>1290.493751</v>
      </c>
      <c r="AH8">
        <v>831.53187400000002</v>
      </c>
      <c r="AI8">
        <v>562.02036599999997</v>
      </c>
      <c r="AJ8">
        <v>2079.0371829999999</v>
      </c>
      <c r="AK8">
        <v>1179.2497659999999</v>
      </c>
      <c r="AL8">
        <v>668.81375600000001</v>
      </c>
      <c r="AM8">
        <v>2556.271154</v>
      </c>
      <c r="AN8">
        <v>2276.138829</v>
      </c>
      <c r="AO8">
        <v>1723.574214</v>
      </c>
      <c r="AP8">
        <v>2172.3466100000001</v>
      </c>
      <c r="AQ8">
        <v>1302.622795</v>
      </c>
      <c r="AR8">
        <v>1545.009452</v>
      </c>
      <c r="AS8">
        <v>1213.650071</v>
      </c>
      <c r="AT8">
        <v>1635.9247809999999</v>
      </c>
      <c r="AU8">
        <v>1232.5046870000001</v>
      </c>
      <c r="AV8">
        <v>1814.557769</v>
      </c>
      <c r="AW8">
        <v>3270.1761379999998</v>
      </c>
      <c r="AX8">
        <v>1085.7677819999999</v>
      </c>
      <c r="AY8">
        <v>1049.232929</v>
      </c>
    </row>
    <row r="9" spans="1:51" x14ac:dyDescent="0.2">
      <c r="A9" s="1">
        <v>4</v>
      </c>
      <c r="B9" s="1" t="s">
        <v>13</v>
      </c>
      <c r="C9" s="1">
        <v>17</v>
      </c>
      <c r="D9" s="1" t="s">
        <v>14</v>
      </c>
      <c r="E9" s="1">
        <v>34</v>
      </c>
      <c r="F9" s="1">
        <v>34</v>
      </c>
      <c r="H9" t="str">
        <f t="shared" si="0"/>
        <v>NG_Fujian_Jiangxi</v>
      </c>
      <c r="I9">
        <f t="shared" si="2"/>
        <v>12937.59512937595</v>
      </c>
      <c r="J9">
        <f t="shared" si="1"/>
        <v>4.8592195989999995E-3</v>
      </c>
      <c r="L9">
        <f t="shared" si="3"/>
        <v>-12937.59512937595</v>
      </c>
      <c r="M9">
        <f t="shared" si="4"/>
        <v>12937.59512937595</v>
      </c>
      <c r="N9" t="str">
        <f t="shared" si="5"/>
        <v>Fujian</v>
      </c>
      <c r="O9" t="str">
        <f t="shared" si="6"/>
        <v>Jiangxi</v>
      </c>
      <c r="T9">
        <v>7</v>
      </c>
      <c r="U9" s="2" t="s">
        <v>20</v>
      </c>
      <c r="V9">
        <v>1338.011839</v>
      </c>
      <c r="W9">
        <v>2047.8429719999999</v>
      </c>
      <c r="X9">
        <v>772.57002399999999</v>
      </c>
      <c r="Y9">
        <v>1072.8086679999999</v>
      </c>
      <c r="Z9">
        <v>1533.942211</v>
      </c>
      <c r="AA9">
        <v>504.339696</v>
      </c>
      <c r="AB9">
        <v>0</v>
      </c>
      <c r="AC9">
        <v>446.557165</v>
      </c>
      <c r="AD9">
        <v>376.28229700000003</v>
      </c>
      <c r="AE9">
        <v>1823.7450470000001</v>
      </c>
      <c r="AF9">
        <v>3259.2042160000001</v>
      </c>
      <c r="AG9">
        <v>1425.24746</v>
      </c>
      <c r="AH9">
        <v>1047.0396270000001</v>
      </c>
      <c r="AI9">
        <v>761.45054300000004</v>
      </c>
      <c r="AJ9">
        <v>2134.936913</v>
      </c>
      <c r="AK9">
        <v>1525.229182</v>
      </c>
      <c r="AL9">
        <v>999.88057300000003</v>
      </c>
      <c r="AM9">
        <v>2813.2750500000002</v>
      </c>
      <c r="AN9">
        <v>2532.2453310000001</v>
      </c>
      <c r="AO9">
        <v>1639.9850819999999</v>
      </c>
      <c r="AP9">
        <v>1889.7546279999999</v>
      </c>
      <c r="AQ9">
        <v>1273.8424950000001</v>
      </c>
      <c r="AR9">
        <v>1751.447185</v>
      </c>
      <c r="AS9">
        <v>1605.9302580000001</v>
      </c>
      <c r="AT9">
        <v>1720.276887</v>
      </c>
      <c r="AU9">
        <v>968.69305199999997</v>
      </c>
      <c r="AV9">
        <v>1998.750182</v>
      </c>
      <c r="AW9">
        <v>2999.1433379999999</v>
      </c>
      <c r="AX9">
        <v>619.30078600000002</v>
      </c>
      <c r="AY9">
        <v>1441.1654370000001</v>
      </c>
    </row>
    <row r="10" spans="1:51" x14ac:dyDescent="0.2">
      <c r="A10" s="1">
        <v>4</v>
      </c>
      <c r="B10" s="1" t="s">
        <v>13</v>
      </c>
      <c r="C10" s="1">
        <v>30</v>
      </c>
      <c r="D10" s="1" t="s">
        <v>6</v>
      </c>
      <c r="E10" s="1">
        <v>10</v>
      </c>
      <c r="F10" s="1">
        <v>89.4</v>
      </c>
      <c r="H10" t="str">
        <f t="shared" si="0"/>
        <v>NG_Fujian_Zhejiang</v>
      </c>
      <c r="I10">
        <f t="shared" si="2"/>
        <v>3805.1750380517501</v>
      </c>
      <c r="J10">
        <f t="shared" si="1"/>
        <v>6.5134327180000002E-3</v>
      </c>
      <c r="L10">
        <f t="shared" si="3"/>
        <v>-3805.1750380517501</v>
      </c>
      <c r="M10">
        <f t="shared" si="4"/>
        <v>3805.1750380517501</v>
      </c>
      <c r="N10" t="str">
        <f t="shared" si="5"/>
        <v>Fujian</v>
      </c>
      <c r="O10" t="str">
        <f t="shared" si="6"/>
        <v>Zhejiang</v>
      </c>
      <c r="T10">
        <v>8</v>
      </c>
      <c r="U10" s="2" t="s">
        <v>22</v>
      </c>
      <c r="V10">
        <v>1181.542252</v>
      </c>
      <c r="W10">
        <v>1734.455919</v>
      </c>
      <c r="X10">
        <v>334.60892999999999</v>
      </c>
      <c r="Y10">
        <v>1155.289158</v>
      </c>
      <c r="Z10">
        <v>1089.9607450000001</v>
      </c>
      <c r="AA10">
        <v>758.19956300000001</v>
      </c>
      <c r="AB10">
        <v>446.557165</v>
      </c>
      <c r="AC10">
        <v>0</v>
      </c>
      <c r="AD10">
        <v>817.26471400000003</v>
      </c>
      <c r="AE10">
        <v>1516.3318650000001</v>
      </c>
      <c r="AF10">
        <v>2977.0130170000002</v>
      </c>
      <c r="AG10">
        <v>1126.6931959999999</v>
      </c>
      <c r="AH10">
        <v>864.36444200000005</v>
      </c>
      <c r="AI10">
        <v>646.80337999999995</v>
      </c>
      <c r="AJ10">
        <v>1755.2042389999999</v>
      </c>
      <c r="AK10">
        <v>1404.599866</v>
      </c>
      <c r="AL10">
        <v>934.55151799999999</v>
      </c>
      <c r="AM10">
        <v>2551.3041440000002</v>
      </c>
      <c r="AN10">
        <v>2276.2093559999998</v>
      </c>
      <c r="AO10">
        <v>1212.762168</v>
      </c>
      <c r="AP10">
        <v>1456.9148740000001</v>
      </c>
      <c r="AQ10">
        <v>882.49685399999998</v>
      </c>
      <c r="AR10">
        <v>1485.2057420000001</v>
      </c>
      <c r="AS10">
        <v>1532.0627119999999</v>
      </c>
      <c r="AT10">
        <v>1369.6808530000001</v>
      </c>
      <c r="AU10">
        <v>524.11644899999999</v>
      </c>
      <c r="AV10">
        <v>1703.5630550000001</v>
      </c>
      <c r="AW10">
        <v>2566.261117</v>
      </c>
      <c r="AX10">
        <v>432.912463</v>
      </c>
      <c r="AY10">
        <v>1380.2507869999999</v>
      </c>
    </row>
    <row r="11" spans="1:51" x14ac:dyDescent="0.2">
      <c r="A11" s="1">
        <v>5</v>
      </c>
      <c r="B11" s="1" t="s">
        <v>15</v>
      </c>
      <c r="C11" s="1">
        <v>20</v>
      </c>
      <c r="D11" s="1" t="s">
        <v>16</v>
      </c>
      <c r="E11" s="1">
        <v>3.5</v>
      </c>
      <c r="F11" s="1">
        <v>95.6</v>
      </c>
      <c r="H11" t="str">
        <f t="shared" si="0"/>
        <v>NG_Gansu_Ningxia</v>
      </c>
      <c r="I11">
        <f t="shared" si="2"/>
        <v>1331.8112633181124</v>
      </c>
      <c r="J11">
        <f t="shared" si="1"/>
        <v>3.5917763309999996E-3</v>
      </c>
      <c r="L11">
        <f t="shared" si="3"/>
        <v>-1331.8112633181124</v>
      </c>
      <c r="M11">
        <f t="shared" si="4"/>
        <v>1331.8112633181124</v>
      </c>
      <c r="N11" t="str">
        <f t="shared" si="5"/>
        <v>Gansu</v>
      </c>
      <c r="O11" t="str">
        <f t="shared" si="6"/>
        <v>Ningxia</v>
      </c>
      <c r="T11">
        <v>9</v>
      </c>
      <c r="U11" s="2" t="s">
        <v>21</v>
      </c>
      <c r="V11">
        <v>1487.340786</v>
      </c>
      <c r="W11">
        <v>2287.1241570000002</v>
      </c>
      <c r="X11">
        <v>1132.27685</v>
      </c>
      <c r="Y11">
        <v>1056.2205710000001</v>
      </c>
      <c r="Z11">
        <v>1894.324134</v>
      </c>
      <c r="AA11">
        <v>459.91477099999997</v>
      </c>
      <c r="AB11">
        <v>376.28229700000003</v>
      </c>
      <c r="AC11">
        <v>817.26471400000003</v>
      </c>
      <c r="AD11">
        <v>0</v>
      </c>
      <c r="AE11">
        <v>2063.6282500000002</v>
      </c>
      <c r="AF11">
        <v>3454.0811600000002</v>
      </c>
      <c r="AG11">
        <v>1671.8522069999999</v>
      </c>
      <c r="AH11">
        <v>1240.0015289999999</v>
      </c>
      <c r="AI11">
        <v>950.53070300000002</v>
      </c>
      <c r="AJ11">
        <v>2427.4214270000002</v>
      </c>
      <c r="AK11">
        <v>1634.8363999999999</v>
      </c>
      <c r="AL11">
        <v>1115.251886</v>
      </c>
      <c r="AM11">
        <v>2996.5393119999999</v>
      </c>
      <c r="AN11">
        <v>2715.2210650000002</v>
      </c>
      <c r="AO11">
        <v>1980.1755499999999</v>
      </c>
      <c r="AP11">
        <v>2265.9998030000002</v>
      </c>
      <c r="AQ11">
        <v>1590.5159839999999</v>
      </c>
      <c r="AR11">
        <v>1961.9740469999999</v>
      </c>
      <c r="AS11">
        <v>1673.5640840000001</v>
      </c>
      <c r="AT11">
        <v>1995.9911629999999</v>
      </c>
      <c r="AU11">
        <v>1341.3102249999999</v>
      </c>
      <c r="AV11">
        <v>2224.6691449999998</v>
      </c>
      <c r="AW11">
        <v>3375.4238500000001</v>
      </c>
      <c r="AX11">
        <v>961.49391100000003</v>
      </c>
      <c r="AY11">
        <v>1509.0742319999999</v>
      </c>
    </row>
    <row r="12" spans="1:51" x14ac:dyDescent="0.2">
      <c r="A12" s="1">
        <v>5</v>
      </c>
      <c r="B12" s="1" t="s">
        <v>15</v>
      </c>
      <c r="C12" s="1">
        <v>21</v>
      </c>
      <c r="D12" s="1" t="s">
        <v>17</v>
      </c>
      <c r="E12" s="1">
        <v>4</v>
      </c>
      <c r="F12" s="1">
        <v>6.7</v>
      </c>
      <c r="H12" t="str">
        <f t="shared" si="0"/>
        <v>NG_Gansu_Qinghai</v>
      </c>
      <c r="I12">
        <f t="shared" si="2"/>
        <v>1522.0700152207</v>
      </c>
      <c r="J12">
        <f t="shared" si="1"/>
        <v>8.1701698779999988E-3</v>
      </c>
      <c r="L12">
        <f t="shared" si="3"/>
        <v>-1522.0700152207</v>
      </c>
      <c r="M12">
        <f t="shared" si="4"/>
        <v>1522.0700152207</v>
      </c>
      <c r="N12" t="str">
        <f t="shared" si="5"/>
        <v>Gansu</v>
      </c>
      <c r="O12" t="str">
        <f t="shared" si="6"/>
        <v>Qinghai</v>
      </c>
      <c r="T12">
        <v>10</v>
      </c>
      <c r="U12" s="2" t="s">
        <v>8</v>
      </c>
      <c r="V12">
        <v>705.59502699999996</v>
      </c>
      <c r="W12">
        <v>224.418701</v>
      </c>
      <c r="X12">
        <v>1256.82638</v>
      </c>
      <c r="Y12">
        <v>1354.82518</v>
      </c>
      <c r="Z12">
        <v>1065.647383</v>
      </c>
      <c r="AA12">
        <v>1666.903824</v>
      </c>
      <c r="AB12">
        <v>1823.7450470000001</v>
      </c>
      <c r="AC12">
        <v>1516.3318650000001</v>
      </c>
      <c r="AD12">
        <v>2063.6282500000002</v>
      </c>
      <c r="AE12">
        <v>0</v>
      </c>
      <c r="AF12">
        <v>1461.8290119999999</v>
      </c>
      <c r="AG12">
        <v>398.55202100000002</v>
      </c>
      <c r="AH12">
        <v>835.38170300000002</v>
      </c>
      <c r="AI12">
        <v>1115.655861</v>
      </c>
      <c r="AJ12">
        <v>531.68591600000002</v>
      </c>
      <c r="AK12">
        <v>771.70205199999998</v>
      </c>
      <c r="AL12">
        <v>1040.3888440000001</v>
      </c>
      <c r="AM12">
        <v>1052.10699</v>
      </c>
      <c r="AN12">
        <v>792.81200799999999</v>
      </c>
      <c r="AO12">
        <v>812.44477700000004</v>
      </c>
      <c r="AP12">
        <v>1662.180194</v>
      </c>
      <c r="AQ12">
        <v>720.47173799999996</v>
      </c>
      <c r="AR12">
        <v>201.930688</v>
      </c>
      <c r="AS12">
        <v>940.69399799999997</v>
      </c>
      <c r="AT12">
        <v>259.31535300000002</v>
      </c>
      <c r="AU12">
        <v>1328.4083410000001</v>
      </c>
      <c r="AV12">
        <v>192.93353099999999</v>
      </c>
      <c r="AW12">
        <v>2409.2542840000001</v>
      </c>
      <c r="AX12">
        <v>1878.601658</v>
      </c>
      <c r="AY12">
        <v>966.17489</v>
      </c>
    </row>
    <row r="13" spans="1:51" x14ac:dyDescent="0.2">
      <c r="A13" s="1">
        <v>5</v>
      </c>
      <c r="B13" s="1" t="s">
        <v>15</v>
      </c>
      <c r="C13" s="1">
        <v>22</v>
      </c>
      <c r="D13" s="1" t="s">
        <v>18</v>
      </c>
      <c r="E13" s="1">
        <v>3.5</v>
      </c>
      <c r="F13" s="1">
        <v>81</v>
      </c>
      <c r="H13" t="str">
        <f t="shared" si="0"/>
        <v>NG_Gansu_Shaanxi</v>
      </c>
      <c r="I13">
        <f t="shared" si="2"/>
        <v>1331.8112633181124</v>
      </c>
      <c r="J13">
        <f t="shared" si="1"/>
        <v>6.6725063080000004E-3</v>
      </c>
      <c r="L13">
        <f t="shared" si="3"/>
        <v>-1331.8112633181124</v>
      </c>
      <c r="M13">
        <f t="shared" si="4"/>
        <v>1331.8112633181124</v>
      </c>
      <c r="N13" t="str">
        <f t="shared" si="5"/>
        <v>Gansu</v>
      </c>
      <c r="O13" t="str">
        <f t="shared" si="6"/>
        <v>Shaanxi</v>
      </c>
      <c r="T13">
        <v>11</v>
      </c>
      <c r="U13" s="2" t="s">
        <v>29</v>
      </c>
      <c r="V13">
        <v>1971.4823490000001</v>
      </c>
      <c r="W13">
        <v>1249.863325</v>
      </c>
      <c r="X13">
        <v>2715.270833</v>
      </c>
      <c r="Y13">
        <v>2543.6195899999998</v>
      </c>
      <c r="Z13">
        <v>2353.495883</v>
      </c>
      <c r="AA13">
        <v>3017.2393729999999</v>
      </c>
      <c r="AB13">
        <v>3259.2042160000001</v>
      </c>
      <c r="AC13">
        <v>2977.0130170000002</v>
      </c>
      <c r="AD13">
        <v>3454.0811600000002</v>
      </c>
      <c r="AE13">
        <v>1461.8290119999999</v>
      </c>
      <c r="AF13">
        <v>0</v>
      </c>
      <c r="AG13">
        <v>1851.514052</v>
      </c>
      <c r="AH13">
        <v>2220.9687880000001</v>
      </c>
      <c r="AI13">
        <v>2512.6949979999999</v>
      </c>
      <c r="AJ13">
        <v>1418.245064</v>
      </c>
      <c r="AK13">
        <v>1867.372744</v>
      </c>
      <c r="AL13">
        <v>2348.684092</v>
      </c>
      <c r="AM13">
        <v>464.88849599999998</v>
      </c>
      <c r="AN13">
        <v>741.51469299999997</v>
      </c>
      <c r="AO13">
        <v>2078.4101850000002</v>
      </c>
      <c r="AP13">
        <v>2807.8328259999998</v>
      </c>
      <c r="AQ13">
        <v>2158.4520859999998</v>
      </c>
      <c r="AR13">
        <v>1507.9137209999999</v>
      </c>
      <c r="AS13">
        <v>1911.3005310000001</v>
      </c>
      <c r="AT13">
        <v>1645.4605959999999</v>
      </c>
      <c r="AU13">
        <v>2759.679948</v>
      </c>
      <c r="AV13">
        <v>1273.454285</v>
      </c>
      <c r="AW13">
        <v>3095.6351410000002</v>
      </c>
      <c r="AX13">
        <v>3337.2357740000002</v>
      </c>
      <c r="AY13">
        <v>2045.0156959999999</v>
      </c>
    </row>
    <row r="14" spans="1:51" x14ac:dyDescent="0.2">
      <c r="A14" s="1">
        <v>6</v>
      </c>
      <c r="B14" s="1" t="s">
        <v>19</v>
      </c>
      <c r="C14" s="1">
        <v>4</v>
      </c>
      <c r="D14" s="1" t="s">
        <v>13</v>
      </c>
      <c r="E14" s="1">
        <v>10</v>
      </c>
      <c r="F14" s="1">
        <v>97.8</v>
      </c>
      <c r="H14" t="str">
        <f t="shared" si="0"/>
        <v>NG_Guangdong_Fujian</v>
      </c>
      <c r="I14">
        <f t="shared" si="2"/>
        <v>3805.1750380517501</v>
      </c>
      <c r="J14">
        <f t="shared" si="1"/>
        <v>7.8793077349999987E-3</v>
      </c>
      <c r="L14">
        <f t="shared" si="3"/>
        <v>-3805.1750380517501</v>
      </c>
      <c r="M14">
        <f t="shared" si="4"/>
        <v>3805.1750380517501</v>
      </c>
      <c r="N14" t="str">
        <f t="shared" si="5"/>
        <v>Guangdong</v>
      </c>
      <c r="O14" t="str">
        <f t="shared" si="6"/>
        <v>Fujian</v>
      </c>
      <c r="T14">
        <v>12</v>
      </c>
      <c r="U14" s="2" t="s">
        <v>4</v>
      </c>
      <c r="V14">
        <v>467.20231999999999</v>
      </c>
      <c r="W14">
        <v>622.60632099999998</v>
      </c>
      <c r="X14">
        <v>890.37348299999996</v>
      </c>
      <c r="Y14">
        <v>1063.135282</v>
      </c>
      <c r="Z14">
        <v>909.37810500000001</v>
      </c>
      <c r="AA14">
        <v>1290.493751</v>
      </c>
      <c r="AB14">
        <v>1425.24746</v>
      </c>
      <c r="AC14">
        <v>1126.6931959999999</v>
      </c>
      <c r="AD14">
        <v>1671.8522069999999</v>
      </c>
      <c r="AE14">
        <v>398.55202100000002</v>
      </c>
      <c r="AF14">
        <v>1851.514052</v>
      </c>
      <c r="AG14">
        <v>0</v>
      </c>
      <c r="AH14">
        <v>468.99354399999999</v>
      </c>
      <c r="AI14">
        <v>730.92374099999995</v>
      </c>
      <c r="AJ14">
        <v>802.83828300000005</v>
      </c>
      <c r="AK14">
        <v>644.30545300000006</v>
      </c>
      <c r="AL14">
        <v>709.05552699999998</v>
      </c>
      <c r="AM14">
        <v>1425.692395</v>
      </c>
      <c r="AN14">
        <v>1153.30395</v>
      </c>
      <c r="AO14">
        <v>727.70880199999999</v>
      </c>
      <c r="AP14">
        <v>1537.7299860000001</v>
      </c>
      <c r="AQ14">
        <v>434.14808099999999</v>
      </c>
      <c r="AR14">
        <v>369.52002199999998</v>
      </c>
      <c r="AS14">
        <v>836.69393300000002</v>
      </c>
      <c r="AT14">
        <v>358.92109799999997</v>
      </c>
      <c r="AU14">
        <v>1005.161475</v>
      </c>
      <c r="AV14">
        <v>578.90769599999999</v>
      </c>
      <c r="AW14">
        <v>2435.7913629999998</v>
      </c>
      <c r="AX14">
        <v>1506.1182590000001</v>
      </c>
      <c r="AY14">
        <v>791.83906400000001</v>
      </c>
    </row>
    <row r="15" spans="1:51" x14ac:dyDescent="0.2">
      <c r="A15" s="1">
        <v>6</v>
      </c>
      <c r="B15" s="1" t="s">
        <v>19</v>
      </c>
      <c r="C15" s="1">
        <v>7</v>
      </c>
      <c r="D15" s="1" t="s">
        <v>20</v>
      </c>
      <c r="E15" s="1">
        <v>10</v>
      </c>
      <c r="F15" s="1">
        <v>85.1</v>
      </c>
      <c r="H15" t="str">
        <f t="shared" si="0"/>
        <v>NG_Guangdong_Guangxi</v>
      </c>
      <c r="I15">
        <f t="shared" si="2"/>
        <v>3805.1750380517501</v>
      </c>
      <c r="J15">
        <f t="shared" si="1"/>
        <v>6.5564160479999996E-3</v>
      </c>
      <c r="L15">
        <f t="shared" si="3"/>
        <v>-3805.1750380517501</v>
      </c>
      <c r="M15">
        <f t="shared" si="4"/>
        <v>3805.1750380517501</v>
      </c>
      <c r="N15" t="str">
        <f t="shared" si="5"/>
        <v>Guangdong</v>
      </c>
      <c r="O15" t="str">
        <f t="shared" si="6"/>
        <v>Guangxi</v>
      </c>
      <c r="U15" s="2" t="s">
        <v>11</v>
      </c>
      <c r="V15">
        <v>317.305995</v>
      </c>
      <c r="W15">
        <v>1055.2823599999999</v>
      </c>
      <c r="X15">
        <v>763.487481</v>
      </c>
      <c r="Y15">
        <v>635.379008</v>
      </c>
      <c r="Z15">
        <v>1152.6340640000001</v>
      </c>
      <c r="AA15">
        <v>831.53187400000002</v>
      </c>
      <c r="AB15">
        <v>1047.0396270000001</v>
      </c>
      <c r="AC15">
        <v>864.36444200000005</v>
      </c>
      <c r="AD15">
        <v>1240.0015289999999</v>
      </c>
      <c r="AE15">
        <v>835.38170300000002</v>
      </c>
      <c r="AF15">
        <v>2220.9687880000001</v>
      </c>
      <c r="AG15">
        <v>468.99354399999999</v>
      </c>
      <c r="AH15">
        <v>0</v>
      </c>
      <c r="AI15">
        <v>291.77741099999997</v>
      </c>
      <c r="AJ15">
        <v>1271.032672</v>
      </c>
      <c r="AK15">
        <v>545.83378500000003</v>
      </c>
      <c r="AL15">
        <v>261.98346900000001</v>
      </c>
      <c r="AM15">
        <v>1769.5066939999999</v>
      </c>
      <c r="AN15">
        <v>1487.9270300000001</v>
      </c>
      <c r="AO15">
        <v>1063.813752</v>
      </c>
      <c r="AP15">
        <v>1753.1745940000001</v>
      </c>
      <c r="AQ15">
        <v>647.62751100000003</v>
      </c>
      <c r="AR15">
        <v>721.97252300000002</v>
      </c>
      <c r="AS15">
        <v>695.49916700000006</v>
      </c>
      <c r="AT15">
        <v>825.80860900000005</v>
      </c>
      <c r="AU15">
        <v>978.743111</v>
      </c>
      <c r="AV15">
        <v>986.61265100000003</v>
      </c>
      <c r="AW15">
        <v>2757.727097</v>
      </c>
      <c r="AX15">
        <v>1292.1112720000001</v>
      </c>
      <c r="AY15">
        <v>566.87722799999995</v>
      </c>
    </row>
    <row r="16" spans="1:51" x14ac:dyDescent="0.2">
      <c r="A16" s="1">
        <v>6</v>
      </c>
      <c r="B16" s="1" t="s">
        <v>19</v>
      </c>
      <c r="C16" s="1">
        <v>9</v>
      </c>
      <c r="D16" s="1" t="s">
        <v>21</v>
      </c>
      <c r="E16" s="1">
        <v>8.3000000000000007</v>
      </c>
      <c r="F16" s="1">
        <v>12.4</v>
      </c>
      <c r="H16" t="str">
        <f t="shared" si="0"/>
        <v>NG_Guangdong_Hainan</v>
      </c>
      <c r="I16">
        <f t="shared" si="2"/>
        <v>3158.2952815829535</v>
      </c>
      <c r="J16">
        <f t="shared" si="1"/>
        <v>5.978892022999999E-3</v>
      </c>
      <c r="L16">
        <f t="shared" si="3"/>
        <v>-3158.2952815829535</v>
      </c>
      <c r="M16">
        <f t="shared" si="4"/>
        <v>3158.2952815829535</v>
      </c>
      <c r="N16" t="str">
        <f t="shared" si="5"/>
        <v>Guangdong</v>
      </c>
      <c r="O16" t="str">
        <f t="shared" si="6"/>
        <v>Hainan</v>
      </c>
      <c r="U16" s="2" t="s">
        <v>23</v>
      </c>
      <c r="V16">
        <v>577.99087899999995</v>
      </c>
      <c r="W16">
        <v>1338.1966629999999</v>
      </c>
      <c r="X16">
        <v>654.99955499999999</v>
      </c>
      <c r="Y16">
        <v>575.47079599999995</v>
      </c>
      <c r="Z16">
        <v>1230.411439</v>
      </c>
      <c r="AA16">
        <v>562.02036599999997</v>
      </c>
      <c r="AB16">
        <v>761.45054300000004</v>
      </c>
      <c r="AC16">
        <v>646.80337999999995</v>
      </c>
      <c r="AD16">
        <v>950.53070300000002</v>
      </c>
      <c r="AE16">
        <v>1115.655861</v>
      </c>
      <c r="AF16">
        <v>2512.6949979999999</v>
      </c>
      <c r="AG16">
        <v>730.92374099999995</v>
      </c>
      <c r="AH16">
        <v>291.77741099999997</v>
      </c>
      <c r="AI16">
        <v>0</v>
      </c>
      <c r="AJ16">
        <v>1517.213227</v>
      </c>
      <c r="AK16">
        <v>778.96603900000002</v>
      </c>
      <c r="AL16">
        <v>288.22333400000002</v>
      </c>
      <c r="AM16">
        <v>2060.5435499999999</v>
      </c>
      <c r="AN16">
        <v>1778.8773630000001</v>
      </c>
      <c r="AO16">
        <v>1204.80332</v>
      </c>
      <c r="AP16">
        <v>1782.255238</v>
      </c>
      <c r="AQ16">
        <v>774.92559500000004</v>
      </c>
      <c r="AR16">
        <v>1012.482159</v>
      </c>
      <c r="AS16">
        <v>889.84810500000003</v>
      </c>
      <c r="AT16">
        <v>1073.907643</v>
      </c>
      <c r="AU16">
        <v>906.61528199999998</v>
      </c>
      <c r="AV16">
        <v>1274.1503310000001</v>
      </c>
      <c r="AW16">
        <v>2839.9685140000001</v>
      </c>
      <c r="AX16">
        <v>1079.036558</v>
      </c>
      <c r="AY16">
        <v>734.65696600000001</v>
      </c>
    </row>
    <row r="17" spans="1:51" x14ac:dyDescent="0.2">
      <c r="A17" s="1">
        <v>7</v>
      </c>
      <c r="B17" s="1" t="s">
        <v>20</v>
      </c>
      <c r="C17" s="1">
        <v>8</v>
      </c>
      <c r="D17" s="1" t="s">
        <v>22</v>
      </c>
      <c r="E17" s="1">
        <v>10</v>
      </c>
      <c r="F17" s="1">
        <v>82.7</v>
      </c>
      <c r="H17" t="str">
        <f t="shared" si="0"/>
        <v>NG_Guangxi_Guizhou</v>
      </c>
      <c r="I17">
        <f t="shared" si="2"/>
        <v>3805.1750380517501</v>
      </c>
      <c r="J17">
        <f t="shared" si="1"/>
        <v>5.8052431449999997E-3</v>
      </c>
      <c r="L17">
        <f t="shared" si="3"/>
        <v>-3805.1750380517501</v>
      </c>
      <c r="M17">
        <f t="shared" si="4"/>
        <v>3805.1750380517501</v>
      </c>
      <c r="N17" t="str">
        <f t="shared" si="5"/>
        <v>Guangxi</v>
      </c>
      <c r="O17" t="str">
        <f t="shared" si="6"/>
        <v>Guizhou</v>
      </c>
      <c r="U17" s="2" t="s">
        <v>9</v>
      </c>
      <c r="V17">
        <v>1213.8905580000001</v>
      </c>
      <c r="W17">
        <v>451.53582999999998</v>
      </c>
      <c r="X17">
        <v>1440.830991</v>
      </c>
      <c r="Y17">
        <v>1851.8814420000001</v>
      </c>
      <c r="Z17">
        <v>940.08798999999999</v>
      </c>
      <c r="AA17">
        <v>2079.0371829999999</v>
      </c>
      <c r="AB17">
        <v>2134.936913</v>
      </c>
      <c r="AC17">
        <v>1755.2042389999999</v>
      </c>
      <c r="AD17">
        <v>2427.4214270000002</v>
      </c>
      <c r="AE17">
        <v>531.68591600000002</v>
      </c>
      <c r="AF17">
        <v>1418.245064</v>
      </c>
      <c r="AG17">
        <v>802.83828300000005</v>
      </c>
      <c r="AH17">
        <v>1271.032672</v>
      </c>
      <c r="AI17">
        <v>1517.213227</v>
      </c>
      <c r="AJ17">
        <v>0</v>
      </c>
      <c r="AK17">
        <v>1302.3056819999999</v>
      </c>
      <c r="AL17">
        <v>1509.644992</v>
      </c>
      <c r="AM17">
        <v>1137.108665</v>
      </c>
      <c r="AN17">
        <v>969.99904900000001</v>
      </c>
      <c r="AO17">
        <v>669.23564299999998</v>
      </c>
      <c r="AP17">
        <v>1409.6919849999999</v>
      </c>
      <c r="AQ17">
        <v>872.71778900000004</v>
      </c>
      <c r="AR17">
        <v>732.91409599999997</v>
      </c>
      <c r="AS17">
        <v>1472.268744</v>
      </c>
      <c r="AT17">
        <v>445.52285000000001</v>
      </c>
      <c r="AU17">
        <v>1413.71297</v>
      </c>
      <c r="AV17">
        <v>554.67266300000006</v>
      </c>
      <c r="AW17">
        <v>1962.3096390000001</v>
      </c>
      <c r="AX17">
        <v>2037.7823149999999</v>
      </c>
      <c r="AY17">
        <v>1494.1314420000001</v>
      </c>
    </row>
    <row r="18" spans="1:51" x14ac:dyDescent="0.2">
      <c r="A18" s="1">
        <v>8</v>
      </c>
      <c r="B18" s="1" t="s">
        <v>22</v>
      </c>
      <c r="C18" s="1">
        <v>3</v>
      </c>
      <c r="D18" s="1" t="s">
        <v>10</v>
      </c>
      <c r="E18" s="1">
        <v>19</v>
      </c>
      <c r="F18" s="1">
        <v>87.2</v>
      </c>
      <c r="H18" t="str">
        <f t="shared" si="0"/>
        <v>NG_Guizhou_Chongqing</v>
      </c>
      <c r="I18">
        <f t="shared" si="2"/>
        <v>7229.8325722983254</v>
      </c>
      <c r="J18">
        <f t="shared" si="1"/>
        <v>4.3499160900000002E-3</v>
      </c>
      <c r="L18">
        <f t="shared" si="3"/>
        <v>-7229.8325722983254</v>
      </c>
      <c r="M18">
        <f t="shared" si="4"/>
        <v>7229.8325722983254</v>
      </c>
      <c r="N18" t="str">
        <f t="shared" si="5"/>
        <v>Guizhou</v>
      </c>
      <c r="O18" t="str">
        <f t="shared" si="6"/>
        <v>Chongqing</v>
      </c>
      <c r="U18" s="2" t="s">
        <v>5</v>
      </c>
      <c r="V18">
        <v>236.81488200000001</v>
      </c>
      <c r="W18">
        <v>925.49470599999995</v>
      </c>
      <c r="X18">
        <v>1302.0372339999999</v>
      </c>
      <c r="Y18">
        <v>678.91895799999998</v>
      </c>
      <c r="Z18">
        <v>1541.6089910000001</v>
      </c>
      <c r="AA18">
        <v>1179.2497659999999</v>
      </c>
      <c r="AB18">
        <v>1525.229182</v>
      </c>
      <c r="AC18">
        <v>1404.599866</v>
      </c>
      <c r="AD18">
        <v>1634.8363999999999</v>
      </c>
      <c r="AE18">
        <v>771.70205199999998</v>
      </c>
      <c r="AF18">
        <v>1867.372744</v>
      </c>
      <c r="AG18">
        <v>644.30545300000006</v>
      </c>
      <c r="AH18">
        <v>545.83378500000003</v>
      </c>
      <c r="AI18">
        <v>778.96603900000002</v>
      </c>
      <c r="AJ18">
        <v>1302.3056819999999</v>
      </c>
      <c r="AK18">
        <v>0</v>
      </c>
      <c r="AL18">
        <v>528.06604700000003</v>
      </c>
      <c r="AM18">
        <v>1402.5010669999999</v>
      </c>
      <c r="AN18">
        <v>1130.092836</v>
      </c>
      <c r="AO18">
        <v>1372.0105430000001</v>
      </c>
      <c r="AP18">
        <v>2168.648389</v>
      </c>
      <c r="AQ18">
        <v>1037.5633190000001</v>
      </c>
      <c r="AR18">
        <v>574.20364199999995</v>
      </c>
      <c r="AS18">
        <v>192.39832899999999</v>
      </c>
      <c r="AT18">
        <v>923.983699</v>
      </c>
      <c r="AU18">
        <v>1498.901063</v>
      </c>
      <c r="AV18">
        <v>821.42945099999997</v>
      </c>
      <c r="AW18">
        <v>3077.4353099999998</v>
      </c>
      <c r="AX18">
        <v>1835.2012</v>
      </c>
      <c r="AY18">
        <v>202.22136699999999</v>
      </c>
    </row>
    <row r="19" spans="1:51" x14ac:dyDescent="0.2">
      <c r="A19" s="1">
        <v>8</v>
      </c>
      <c r="B19" s="1" t="s">
        <v>22</v>
      </c>
      <c r="C19" s="1">
        <v>14</v>
      </c>
      <c r="D19" s="1" t="s">
        <v>23</v>
      </c>
      <c r="E19" s="1">
        <v>15</v>
      </c>
      <c r="F19" s="1">
        <v>15</v>
      </c>
      <c r="H19" t="str">
        <f t="shared" si="0"/>
        <v>NG_Guizhou_Hunan</v>
      </c>
      <c r="I19">
        <f t="shared" si="2"/>
        <v>5707.7625570776254</v>
      </c>
      <c r="J19">
        <f t="shared" si="1"/>
        <v>8.4084439399999995E-3</v>
      </c>
      <c r="L19">
        <f t="shared" si="3"/>
        <v>-5707.7625570776254</v>
      </c>
      <c r="M19">
        <f t="shared" si="4"/>
        <v>5707.7625570776254</v>
      </c>
      <c r="N19" t="str">
        <f t="shared" si="5"/>
        <v>Guizhou</v>
      </c>
      <c r="O19" t="str">
        <f t="shared" si="6"/>
        <v>Hunan</v>
      </c>
      <c r="U19" s="2" t="s">
        <v>14</v>
      </c>
      <c r="V19">
        <v>377.48585800000001</v>
      </c>
      <c r="W19">
        <v>1249.9848059999999</v>
      </c>
      <c r="X19">
        <v>922.907014</v>
      </c>
      <c r="Y19">
        <v>373.78612299999998</v>
      </c>
      <c r="Z19">
        <v>1403.056239</v>
      </c>
      <c r="AA19">
        <v>668.81375600000001</v>
      </c>
      <c r="AB19">
        <v>999.88057300000003</v>
      </c>
      <c r="AC19">
        <v>934.55151799999999</v>
      </c>
      <c r="AD19">
        <v>1115.251886</v>
      </c>
      <c r="AE19">
        <v>1040.3888440000001</v>
      </c>
      <c r="AF19">
        <v>2348.684092</v>
      </c>
      <c r="AG19">
        <v>709.05552699999998</v>
      </c>
      <c r="AH19">
        <v>261.98346900000001</v>
      </c>
      <c r="AI19">
        <v>288.22333400000002</v>
      </c>
      <c r="AJ19">
        <v>1509.644992</v>
      </c>
      <c r="AK19">
        <v>528.06604700000003</v>
      </c>
      <c r="AL19">
        <v>0</v>
      </c>
      <c r="AM19">
        <v>1887.4598410000001</v>
      </c>
      <c r="AN19">
        <v>1607.4303890000001</v>
      </c>
      <c r="AO19">
        <v>1324.9148560000001</v>
      </c>
      <c r="AP19">
        <v>1991.129461</v>
      </c>
      <c r="AQ19">
        <v>904.97428500000001</v>
      </c>
      <c r="AR19">
        <v>894.65455899999995</v>
      </c>
      <c r="AS19">
        <v>612.27265399999999</v>
      </c>
      <c r="AT19">
        <v>1067.7991489999999</v>
      </c>
      <c r="AU19">
        <v>1163.711082</v>
      </c>
      <c r="AV19">
        <v>1168.123306</v>
      </c>
      <c r="AW19">
        <v>3012.6968649999999</v>
      </c>
      <c r="AX19">
        <v>1366.1630990000001</v>
      </c>
      <c r="AY19">
        <v>451.90945799999997</v>
      </c>
    </row>
    <row r="20" spans="1:51" x14ac:dyDescent="0.2">
      <c r="A20" s="1">
        <v>8</v>
      </c>
      <c r="B20" s="1" t="s">
        <v>22</v>
      </c>
      <c r="C20" s="1">
        <v>29</v>
      </c>
      <c r="D20" s="1" t="s">
        <v>24</v>
      </c>
      <c r="E20" s="1">
        <v>10</v>
      </c>
      <c r="F20" s="1">
        <v>10</v>
      </c>
      <c r="H20" t="str">
        <f t="shared" si="0"/>
        <v>NG_Guizhou_Yunnan</v>
      </c>
      <c r="I20">
        <f t="shared" si="2"/>
        <v>3805.1750380517501</v>
      </c>
      <c r="J20">
        <f t="shared" si="1"/>
        <v>5.6278620190000003E-3</v>
      </c>
      <c r="L20">
        <f t="shared" si="3"/>
        <v>-3805.1750380517501</v>
      </c>
      <c r="M20">
        <f t="shared" si="4"/>
        <v>3805.1750380517501</v>
      </c>
      <c r="N20" t="str">
        <f t="shared" si="5"/>
        <v>Guizhou</v>
      </c>
      <c r="O20" t="str">
        <f t="shared" si="6"/>
        <v>Yunnan</v>
      </c>
      <c r="U20" s="2" t="s">
        <v>37</v>
      </c>
      <c r="V20">
        <v>1510.9297529999999</v>
      </c>
      <c r="W20">
        <v>860.20388500000001</v>
      </c>
      <c r="X20">
        <v>2307.120578</v>
      </c>
      <c r="Y20">
        <v>2078.852476</v>
      </c>
      <c r="Z20">
        <v>2030.5816689999999</v>
      </c>
      <c r="AA20">
        <v>2556.271154</v>
      </c>
      <c r="AB20">
        <v>2813.2750500000002</v>
      </c>
      <c r="AC20">
        <v>2551.3041440000002</v>
      </c>
      <c r="AD20">
        <v>2996.5393119999999</v>
      </c>
      <c r="AE20">
        <v>1052.10699</v>
      </c>
      <c r="AF20">
        <v>464.88849599999998</v>
      </c>
      <c r="AG20">
        <v>1425.692395</v>
      </c>
      <c r="AH20">
        <v>1769.5066939999999</v>
      </c>
      <c r="AI20">
        <v>2060.5435499999999</v>
      </c>
      <c r="AJ20">
        <v>1137.108665</v>
      </c>
      <c r="AK20">
        <v>1402.5010669999999</v>
      </c>
      <c r="AL20">
        <v>1887.4598410000001</v>
      </c>
      <c r="AM20">
        <v>0</v>
      </c>
      <c r="AN20">
        <v>281.71639499999998</v>
      </c>
      <c r="AO20">
        <v>1755.030131</v>
      </c>
      <c r="AP20">
        <v>2545.7336319999999</v>
      </c>
      <c r="AQ20">
        <v>1768.6594339999999</v>
      </c>
      <c r="AR20">
        <v>1068.3973370000001</v>
      </c>
      <c r="AS20">
        <v>1449.0596559999999</v>
      </c>
      <c r="AT20">
        <v>1266.2107249999999</v>
      </c>
      <c r="AU20">
        <v>2376.5351649999998</v>
      </c>
      <c r="AV20">
        <v>859.24615500000004</v>
      </c>
      <c r="AW20">
        <v>2995.123857</v>
      </c>
      <c r="AX20">
        <v>2927.8515640000001</v>
      </c>
      <c r="AY20">
        <v>1580.674718</v>
      </c>
    </row>
    <row r="21" spans="1:51" x14ac:dyDescent="0.2">
      <c r="A21" s="1">
        <v>10</v>
      </c>
      <c r="B21" s="1" t="s">
        <v>8</v>
      </c>
      <c r="C21" s="1">
        <v>12</v>
      </c>
      <c r="D21" s="1" t="s">
        <v>4</v>
      </c>
      <c r="E21" s="1">
        <v>0.6</v>
      </c>
      <c r="F21" s="1">
        <v>0.6</v>
      </c>
      <c r="H21" t="str">
        <f t="shared" si="0"/>
        <v>NG_Hebei_Henan</v>
      </c>
      <c r="I21">
        <f t="shared" si="2"/>
        <v>228.31050228310502</v>
      </c>
      <c r="J21">
        <f t="shared" si="1"/>
        <v>5.1811762730000002E-3</v>
      </c>
      <c r="L21">
        <f t="shared" si="3"/>
        <v>-228.31050228310502</v>
      </c>
      <c r="M21">
        <f t="shared" si="4"/>
        <v>228.31050228310502</v>
      </c>
      <c r="N21" t="str">
        <f t="shared" si="5"/>
        <v>Hebei</v>
      </c>
      <c r="O21" t="str">
        <f t="shared" si="6"/>
        <v>Henan</v>
      </c>
      <c r="U21" s="2" t="s">
        <v>25</v>
      </c>
      <c r="V21">
        <v>1230.4628009999999</v>
      </c>
      <c r="W21">
        <v>621.97118</v>
      </c>
      <c r="X21">
        <v>2039.8239189999999</v>
      </c>
      <c r="Y21">
        <v>1808.517611</v>
      </c>
      <c r="Z21">
        <v>1811.868665</v>
      </c>
      <c r="AA21">
        <v>2276.138829</v>
      </c>
      <c r="AB21">
        <v>2532.2453310000001</v>
      </c>
      <c r="AC21">
        <v>2276.2093559999998</v>
      </c>
      <c r="AD21">
        <v>2715.2210650000002</v>
      </c>
      <c r="AE21">
        <v>792.81200799999999</v>
      </c>
      <c r="AF21">
        <v>741.51469299999997</v>
      </c>
      <c r="AG21">
        <v>1153.30395</v>
      </c>
      <c r="AH21">
        <v>1487.9270300000001</v>
      </c>
      <c r="AI21">
        <v>1778.8773630000001</v>
      </c>
      <c r="AJ21">
        <v>969.99904900000001</v>
      </c>
      <c r="AK21">
        <v>1130.092836</v>
      </c>
      <c r="AL21">
        <v>1607.4303890000001</v>
      </c>
      <c r="AM21">
        <v>281.71639499999998</v>
      </c>
      <c r="AN21">
        <v>0</v>
      </c>
      <c r="AO21">
        <v>1539.8324259999999</v>
      </c>
      <c r="AP21">
        <v>2357.726862</v>
      </c>
      <c r="AQ21">
        <v>1513.2470189999999</v>
      </c>
      <c r="AR21">
        <v>791.24358299999994</v>
      </c>
      <c r="AS21">
        <v>1189.8771770000001</v>
      </c>
      <c r="AT21">
        <v>1023.483202</v>
      </c>
      <c r="AU21">
        <v>2121.213338</v>
      </c>
      <c r="AV21">
        <v>601.05602299999998</v>
      </c>
      <c r="AW21">
        <v>2899.0346199999999</v>
      </c>
      <c r="AX21">
        <v>2658.7023949999998</v>
      </c>
      <c r="AY21">
        <v>1313.729294</v>
      </c>
    </row>
    <row r="22" spans="1:51" x14ac:dyDescent="0.2">
      <c r="A22" s="1">
        <v>10</v>
      </c>
      <c r="B22" s="1" t="s">
        <v>8</v>
      </c>
      <c r="C22" s="1">
        <v>19</v>
      </c>
      <c r="D22" s="1" t="s">
        <v>25</v>
      </c>
      <c r="E22" s="1">
        <v>38</v>
      </c>
      <c r="F22" s="1">
        <v>38</v>
      </c>
      <c r="H22" t="str">
        <f t="shared" si="0"/>
        <v>NG_Hebei_Liaoning</v>
      </c>
      <c r="I22">
        <f t="shared" si="2"/>
        <v>14459.665144596651</v>
      </c>
      <c r="J22">
        <f t="shared" si="1"/>
        <v>1.0306556104000001E-2</v>
      </c>
      <c r="L22">
        <f t="shared" si="3"/>
        <v>-14459.665144596651</v>
      </c>
      <c r="M22">
        <f t="shared" si="4"/>
        <v>14459.665144596651</v>
      </c>
      <c r="N22" t="str">
        <f t="shared" si="5"/>
        <v>Hebei</v>
      </c>
      <c r="O22" t="str">
        <f t="shared" si="6"/>
        <v>Liaoning</v>
      </c>
      <c r="U22" s="2" t="s">
        <v>16</v>
      </c>
      <c r="V22">
        <v>1183.489096</v>
      </c>
      <c r="W22">
        <v>921.46307300000001</v>
      </c>
      <c r="X22">
        <v>878.60371599999996</v>
      </c>
      <c r="Y22">
        <v>1698.700094</v>
      </c>
      <c r="Z22">
        <v>276.29048699999998</v>
      </c>
      <c r="AA22">
        <v>1723.574214</v>
      </c>
      <c r="AB22">
        <v>1639.9850819999999</v>
      </c>
      <c r="AC22">
        <v>1212.762168</v>
      </c>
      <c r="AD22">
        <v>1980.1755499999999</v>
      </c>
      <c r="AE22">
        <v>812.44477700000004</v>
      </c>
      <c r="AF22">
        <v>2078.4101850000002</v>
      </c>
      <c r="AG22">
        <v>727.70880199999999</v>
      </c>
      <c r="AH22">
        <v>1063.813752</v>
      </c>
      <c r="AI22">
        <v>1204.80332</v>
      </c>
      <c r="AJ22">
        <v>669.23564299999998</v>
      </c>
      <c r="AK22">
        <v>1372.0105430000001</v>
      </c>
      <c r="AL22">
        <v>1324.9148560000001</v>
      </c>
      <c r="AM22">
        <v>1755.030131</v>
      </c>
      <c r="AN22">
        <v>1539.8324259999999</v>
      </c>
      <c r="AO22">
        <v>0</v>
      </c>
      <c r="AP22">
        <v>850.46748300000002</v>
      </c>
      <c r="AQ22">
        <v>430.15481799999998</v>
      </c>
      <c r="AR22">
        <v>955.87918000000002</v>
      </c>
      <c r="AS22">
        <v>1564.3922849999999</v>
      </c>
      <c r="AT22">
        <v>553.27365099999997</v>
      </c>
      <c r="AU22">
        <v>782.73600699999997</v>
      </c>
      <c r="AV22">
        <v>971.26742200000001</v>
      </c>
      <c r="AW22">
        <v>1712.8749330000001</v>
      </c>
      <c r="AX22">
        <v>1420.601852</v>
      </c>
      <c r="AY22">
        <v>1512.698967</v>
      </c>
    </row>
    <row r="23" spans="1:51" x14ac:dyDescent="0.2">
      <c r="A23" s="1">
        <v>10</v>
      </c>
      <c r="B23" s="1" t="s">
        <v>8</v>
      </c>
      <c r="C23" s="1">
        <v>23</v>
      </c>
      <c r="D23" s="1" t="s">
        <v>26</v>
      </c>
      <c r="E23" s="1">
        <v>15.1</v>
      </c>
      <c r="F23" s="1">
        <v>15.1</v>
      </c>
      <c r="H23" t="str">
        <f t="shared" si="0"/>
        <v>NG_Hebei_Shandong</v>
      </c>
      <c r="I23">
        <f t="shared" si="2"/>
        <v>5745.814307458143</v>
      </c>
      <c r="J23">
        <f t="shared" si="1"/>
        <v>2.6250989439999999E-3</v>
      </c>
      <c r="L23">
        <f t="shared" si="3"/>
        <v>-5745.814307458143</v>
      </c>
      <c r="M23">
        <f t="shared" si="4"/>
        <v>5745.814307458143</v>
      </c>
      <c r="N23" t="str">
        <f t="shared" si="5"/>
        <v>Hebei</v>
      </c>
      <c r="O23" t="str">
        <f t="shared" si="6"/>
        <v>Shandong</v>
      </c>
      <c r="U23" s="2" t="s">
        <v>17</v>
      </c>
      <c r="V23">
        <v>1954.8830390000001</v>
      </c>
      <c r="W23">
        <v>1753.619848</v>
      </c>
      <c r="X23">
        <v>1191.6333010000001</v>
      </c>
      <c r="Y23">
        <v>2347.4705060000001</v>
      </c>
      <c r="Z23">
        <v>628.47460599999999</v>
      </c>
      <c r="AA23">
        <v>2172.3466100000001</v>
      </c>
      <c r="AB23">
        <v>1889.7546279999999</v>
      </c>
      <c r="AC23">
        <v>1456.9148740000001</v>
      </c>
      <c r="AD23">
        <v>2265.9998030000002</v>
      </c>
      <c r="AE23">
        <v>1662.180194</v>
      </c>
      <c r="AF23">
        <v>2807.8328259999998</v>
      </c>
      <c r="AG23">
        <v>1537.7299860000001</v>
      </c>
      <c r="AH23">
        <v>1753.1745940000001</v>
      </c>
      <c r="AI23">
        <v>1782.255238</v>
      </c>
      <c r="AJ23">
        <v>1409.6919849999999</v>
      </c>
      <c r="AK23">
        <v>2168.648389</v>
      </c>
      <c r="AL23">
        <v>1991.129461</v>
      </c>
      <c r="AM23">
        <v>2545.7336319999999</v>
      </c>
      <c r="AN23">
        <v>2357.726862</v>
      </c>
      <c r="AO23">
        <v>850.46748300000002</v>
      </c>
      <c r="AP23">
        <v>0</v>
      </c>
      <c r="AQ23">
        <v>1133.883932</v>
      </c>
      <c r="AR23">
        <v>1803.9539400000001</v>
      </c>
      <c r="AS23">
        <v>2358.7536239999999</v>
      </c>
      <c r="AT23">
        <v>1403.380905</v>
      </c>
      <c r="AU23">
        <v>942.49223800000004</v>
      </c>
      <c r="AV23">
        <v>1814.0976619999999</v>
      </c>
      <c r="AW23">
        <v>1109.7446219999999</v>
      </c>
      <c r="AX23">
        <v>1401.4640469999999</v>
      </c>
      <c r="AY23">
        <v>2279.5722129999999</v>
      </c>
    </row>
    <row r="24" spans="1:51" x14ac:dyDescent="0.2">
      <c r="A24" s="1">
        <v>10</v>
      </c>
      <c r="B24" s="1" t="s">
        <v>8</v>
      </c>
      <c r="C24" s="1">
        <v>25</v>
      </c>
      <c r="D24" s="1" t="s">
        <v>27</v>
      </c>
      <c r="E24" s="1">
        <v>31.9</v>
      </c>
      <c r="F24" s="1">
        <v>31.9</v>
      </c>
      <c r="H24" t="str">
        <f t="shared" si="0"/>
        <v>NG_Hebei_Shanxi</v>
      </c>
      <c r="I24">
        <f t="shared" si="2"/>
        <v>12138.508371385084</v>
      </c>
      <c r="J24">
        <f t="shared" si="1"/>
        <v>3.371099589E-3</v>
      </c>
      <c r="L24">
        <f t="shared" si="3"/>
        <v>-12138.508371385084</v>
      </c>
      <c r="M24">
        <f t="shared" si="4"/>
        <v>12138.508371385084</v>
      </c>
      <c r="N24" t="str">
        <f t="shared" si="5"/>
        <v>Hebei</v>
      </c>
      <c r="O24" t="str">
        <f t="shared" si="6"/>
        <v>Shanxi</v>
      </c>
      <c r="U24" s="2" t="s">
        <v>18</v>
      </c>
      <c r="V24">
        <v>821.00136599999996</v>
      </c>
      <c r="W24">
        <v>912.20157900000004</v>
      </c>
      <c r="X24">
        <v>573.35416999999995</v>
      </c>
      <c r="Y24">
        <v>1277.733479</v>
      </c>
      <c r="Z24">
        <v>513.26971600000002</v>
      </c>
      <c r="AA24">
        <v>1302.622795</v>
      </c>
      <c r="AB24">
        <v>1273.8424950000001</v>
      </c>
      <c r="AC24">
        <v>882.49685399999998</v>
      </c>
      <c r="AD24">
        <v>1590.5159839999999</v>
      </c>
      <c r="AE24">
        <v>720.47173799999996</v>
      </c>
      <c r="AF24">
        <v>2158.4520859999998</v>
      </c>
      <c r="AG24">
        <v>434.14808099999999</v>
      </c>
      <c r="AH24">
        <v>647.62751100000003</v>
      </c>
      <c r="AI24">
        <v>774.92559500000004</v>
      </c>
      <c r="AJ24">
        <v>872.71778900000004</v>
      </c>
      <c r="AK24">
        <v>1037.5633190000001</v>
      </c>
      <c r="AL24">
        <v>904.97428500000001</v>
      </c>
      <c r="AM24">
        <v>1768.6594339999999</v>
      </c>
      <c r="AN24">
        <v>1513.2470189999999</v>
      </c>
      <c r="AO24">
        <v>430.15481799999998</v>
      </c>
      <c r="AP24">
        <v>1133.883932</v>
      </c>
      <c r="AQ24">
        <v>0</v>
      </c>
      <c r="AR24">
        <v>776.41441499999996</v>
      </c>
      <c r="AS24">
        <v>1226.2293099999999</v>
      </c>
      <c r="AT24">
        <v>513.68852200000003</v>
      </c>
      <c r="AU24">
        <v>608.22468300000003</v>
      </c>
      <c r="AV24">
        <v>912.48118899999997</v>
      </c>
      <c r="AW24">
        <v>2110.248098</v>
      </c>
      <c r="AX24">
        <v>1187.2358340000001</v>
      </c>
      <c r="AY24">
        <v>1146.5888050000001</v>
      </c>
    </row>
    <row r="25" spans="1:51" x14ac:dyDescent="0.2">
      <c r="A25" s="1">
        <v>10</v>
      </c>
      <c r="B25" s="1" t="s">
        <v>8</v>
      </c>
      <c r="C25" s="1">
        <v>27</v>
      </c>
      <c r="D25" s="1" t="s">
        <v>28</v>
      </c>
      <c r="E25" s="1">
        <v>30.6</v>
      </c>
      <c r="F25" s="1">
        <v>30.6</v>
      </c>
      <c r="H25" t="str">
        <f t="shared" si="0"/>
        <v>NG_Hebei_Tianjin</v>
      </c>
      <c r="I25">
        <f t="shared" si="2"/>
        <v>11643.835616438357</v>
      </c>
      <c r="J25">
        <f t="shared" si="1"/>
        <v>2.5081359029999997E-3</v>
      </c>
      <c r="L25">
        <f t="shared" si="3"/>
        <v>-11643.835616438357</v>
      </c>
      <c r="M25">
        <f t="shared" si="4"/>
        <v>11643.835616438357</v>
      </c>
      <c r="N25" t="str">
        <f t="shared" si="5"/>
        <v>Hebei</v>
      </c>
      <c r="O25" t="str">
        <f t="shared" si="6"/>
        <v>Tianjin</v>
      </c>
      <c r="U25" s="2" t="s">
        <v>26</v>
      </c>
      <c r="V25">
        <v>535.98742600000003</v>
      </c>
      <c r="W25">
        <v>363.95379700000001</v>
      </c>
      <c r="X25">
        <v>1259.6494660000001</v>
      </c>
      <c r="Y25">
        <v>1184.229433</v>
      </c>
      <c r="Z25">
        <v>1189.340152</v>
      </c>
      <c r="AA25">
        <v>1545.009452</v>
      </c>
      <c r="AB25">
        <v>1751.447185</v>
      </c>
      <c r="AC25">
        <v>1485.2057420000001</v>
      </c>
      <c r="AD25">
        <v>1961.9740469999999</v>
      </c>
      <c r="AE25">
        <v>201.930688</v>
      </c>
      <c r="AF25">
        <v>1507.9137209999999</v>
      </c>
      <c r="AG25">
        <v>369.52002199999998</v>
      </c>
      <c r="AH25">
        <v>721.97252300000002</v>
      </c>
      <c r="AI25">
        <v>1012.482159</v>
      </c>
      <c r="AJ25">
        <v>732.91409599999997</v>
      </c>
      <c r="AK25">
        <v>574.20364199999995</v>
      </c>
      <c r="AL25">
        <v>894.65455899999995</v>
      </c>
      <c r="AM25">
        <v>1068.3973370000001</v>
      </c>
      <c r="AN25">
        <v>791.24358299999994</v>
      </c>
      <c r="AO25">
        <v>955.87918000000002</v>
      </c>
      <c r="AP25">
        <v>1803.9539400000001</v>
      </c>
      <c r="AQ25">
        <v>776.41441499999996</v>
      </c>
      <c r="AR25">
        <v>0</v>
      </c>
      <c r="AS25">
        <v>739.43598599999996</v>
      </c>
      <c r="AT25">
        <v>416.85612500000002</v>
      </c>
      <c r="AU25">
        <v>1369.009499</v>
      </c>
      <c r="AV25">
        <v>273.821483</v>
      </c>
      <c r="AW25">
        <v>2595.325499</v>
      </c>
      <c r="AX25">
        <v>1873.4966770000001</v>
      </c>
      <c r="AY25">
        <v>771.82786999999996</v>
      </c>
    </row>
    <row r="26" spans="1:51" x14ac:dyDescent="0.2">
      <c r="A26" s="1">
        <v>11</v>
      </c>
      <c r="B26" s="1" t="s">
        <v>29</v>
      </c>
      <c r="C26" s="1">
        <v>18</v>
      </c>
      <c r="D26" s="1" t="s">
        <v>30</v>
      </c>
      <c r="E26" s="1">
        <v>38</v>
      </c>
      <c r="F26" s="1">
        <v>38</v>
      </c>
      <c r="H26" t="str">
        <f t="shared" si="0"/>
        <v>NG_Heilongjiang_Jilin</v>
      </c>
      <c r="I26">
        <f t="shared" si="2"/>
        <v>14459.665144596651</v>
      </c>
      <c r="J26">
        <f t="shared" si="1"/>
        <v>6.0435504479999999E-3</v>
      </c>
      <c r="L26">
        <f t="shared" si="3"/>
        <v>-14459.665144596651</v>
      </c>
      <c r="M26">
        <f t="shared" si="4"/>
        <v>14459.665144596651</v>
      </c>
      <c r="N26" t="str">
        <f t="shared" si="5"/>
        <v>Heilongjiang</v>
      </c>
      <c r="O26" t="str">
        <f t="shared" si="6"/>
        <v>Jilin</v>
      </c>
      <c r="U26" s="2" t="s">
        <v>32</v>
      </c>
      <c r="V26">
        <v>411.32388800000001</v>
      </c>
      <c r="W26">
        <v>1074.359837</v>
      </c>
      <c r="X26">
        <v>1458.9348150000001</v>
      </c>
      <c r="Y26">
        <v>651.43436699999995</v>
      </c>
      <c r="Z26">
        <v>1732.3902069999999</v>
      </c>
      <c r="AA26">
        <v>1213.650071</v>
      </c>
      <c r="AB26">
        <v>1605.9302580000001</v>
      </c>
      <c r="AC26">
        <v>1532.0627119999999</v>
      </c>
      <c r="AD26">
        <v>1673.5640840000001</v>
      </c>
      <c r="AE26">
        <v>940.69399799999997</v>
      </c>
      <c r="AF26">
        <v>1911.3005310000001</v>
      </c>
      <c r="AG26">
        <v>836.69393300000002</v>
      </c>
      <c r="AH26">
        <v>695.49916700000006</v>
      </c>
      <c r="AI26">
        <v>889.84810500000003</v>
      </c>
      <c r="AJ26">
        <v>1472.268744</v>
      </c>
      <c r="AK26">
        <v>192.39832899999999</v>
      </c>
      <c r="AL26">
        <v>612.27265399999999</v>
      </c>
      <c r="AM26">
        <v>1449.0596559999999</v>
      </c>
      <c r="AN26">
        <v>1189.8771770000001</v>
      </c>
      <c r="AO26">
        <v>1564.3922849999999</v>
      </c>
      <c r="AP26">
        <v>2358.7536239999999</v>
      </c>
      <c r="AQ26">
        <v>1226.2293099999999</v>
      </c>
      <c r="AR26">
        <v>739.43598599999996</v>
      </c>
      <c r="AS26">
        <v>0</v>
      </c>
      <c r="AT26">
        <v>1109.0060739999999</v>
      </c>
      <c r="AU26">
        <v>1667.1849050000001</v>
      </c>
      <c r="AV26">
        <v>966.50114499999995</v>
      </c>
      <c r="AW26">
        <v>3269.0462000000002</v>
      </c>
      <c r="AX26">
        <v>1964.915418</v>
      </c>
      <c r="AY26">
        <v>165.83352600000001</v>
      </c>
    </row>
    <row r="27" spans="1:51" x14ac:dyDescent="0.2">
      <c r="A27" s="1">
        <v>12</v>
      </c>
      <c r="B27" s="1" t="s">
        <v>4</v>
      </c>
      <c r="C27" s="1">
        <v>13</v>
      </c>
      <c r="D27" s="1" t="s">
        <v>11</v>
      </c>
      <c r="E27" s="1">
        <v>91</v>
      </c>
      <c r="F27" s="1">
        <v>91</v>
      </c>
      <c r="H27" t="str">
        <f t="shared" si="0"/>
        <v>NG_Henan_Hubei</v>
      </c>
      <c r="I27">
        <f t="shared" si="2"/>
        <v>34627.092846270934</v>
      </c>
      <c r="J27">
        <f t="shared" si="1"/>
        <v>6.0969160719999997E-3</v>
      </c>
      <c r="L27">
        <f t="shared" si="3"/>
        <v>-34627.092846270934</v>
      </c>
      <c r="M27">
        <f t="shared" si="4"/>
        <v>34627.092846270934</v>
      </c>
      <c r="N27" t="str">
        <f t="shared" si="5"/>
        <v>Henan</v>
      </c>
      <c r="O27" t="str">
        <f t="shared" si="6"/>
        <v>Hubei</v>
      </c>
      <c r="U27" s="2" t="s">
        <v>27</v>
      </c>
      <c r="V27">
        <v>795.77744499999994</v>
      </c>
      <c r="W27">
        <v>406.03623700000003</v>
      </c>
      <c r="X27">
        <v>1080.264021</v>
      </c>
      <c r="Y27">
        <v>1417.8431760000001</v>
      </c>
      <c r="Z27">
        <v>807.76972599999999</v>
      </c>
      <c r="AA27">
        <v>1635.9247809999999</v>
      </c>
      <c r="AB27">
        <v>1720.276887</v>
      </c>
      <c r="AC27">
        <v>1369.6808530000001</v>
      </c>
      <c r="AD27">
        <v>1995.9911629999999</v>
      </c>
      <c r="AE27">
        <v>259.31535300000002</v>
      </c>
      <c r="AF27">
        <v>1645.4605959999999</v>
      </c>
      <c r="AG27">
        <v>358.92109799999997</v>
      </c>
      <c r="AH27">
        <v>825.80860900000005</v>
      </c>
      <c r="AI27">
        <v>1073.907643</v>
      </c>
      <c r="AJ27">
        <v>445.52285000000001</v>
      </c>
      <c r="AK27">
        <v>923.983699</v>
      </c>
      <c r="AL27">
        <v>1067.7991489999999</v>
      </c>
      <c r="AM27">
        <v>1266.2107249999999</v>
      </c>
      <c r="AN27">
        <v>1023.483202</v>
      </c>
      <c r="AO27">
        <v>553.27365099999997</v>
      </c>
      <c r="AP27">
        <v>1403.380905</v>
      </c>
      <c r="AQ27">
        <v>513.68852200000003</v>
      </c>
      <c r="AR27">
        <v>416.85612500000002</v>
      </c>
      <c r="AS27">
        <v>1109.0060739999999</v>
      </c>
      <c r="AT27">
        <v>0</v>
      </c>
      <c r="AU27">
        <v>1115.3708079999999</v>
      </c>
      <c r="AV27">
        <v>429.77047099999999</v>
      </c>
      <c r="AW27">
        <v>2182.0787449999998</v>
      </c>
      <c r="AX27">
        <v>1699.0747240000001</v>
      </c>
      <c r="AY27">
        <v>1100.4108450000001</v>
      </c>
    </row>
    <row r="28" spans="1:51" x14ac:dyDescent="0.2">
      <c r="A28" s="1">
        <v>12</v>
      </c>
      <c r="B28" s="1" t="s">
        <v>4</v>
      </c>
      <c r="C28" s="1">
        <v>23</v>
      </c>
      <c r="D28" s="1" t="s">
        <v>26</v>
      </c>
      <c r="E28" s="1">
        <v>1.1000000000000001</v>
      </c>
      <c r="F28" s="1">
        <v>1.1000000000000001</v>
      </c>
      <c r="H28" t="str">
        <f t="shared" si="0"/>
        <v>NG_Henan_Shandong</v>
      </c>
      <c r="I28">
        <f t="shared" si="2"/>
        <v>418.56925418569261</v>
      </c>
      <c r="J28">
        <f t="shared" si="1"/>
        <v>4.8037602859999995E-3</v>
      </c>
      <c r="L28">
        <f t="shared" si="3"/>
        <v>-418.56925418569261</v>
      </c>
      <c r="M28">
        <f t="shared" si="4"/>
        <v>418.56925418569261</v>
      </c>
      <c r="N28" t="str">
        <f t="shared" si="5"/>
        <v>Henan</v>
      </c>
      <c r="O28" t="str">
        <f t="shared" si="6"/>
        <v>Shandong</v>
      </c>
      <c r="U28" s="2" t="s">
        <v>12</v>
      </c>
      <c r="V28">
        <v>1262.393779</v>
      </c>
      <c r="W28">
        <v>1518.495021</v>
      </c>
      <c r="X28">
        <v>259.81929100000002</v>
      </c>
      <c r="Y28">
        <v>1481.43851</v>
      </c>
      <c r="Z28">
        <v>597.54670499999997</v>
      </c>
      <c r="AA28">
        <v>1232.5046870000001</v>
      </c>
      <c r="AB28">
        <v>968.69305199999997</v>
      </c>
      <c r="AC28">
        <v>524.11644899999999</v>
      </c>
      <c r="AD28">
        <v>1341.3102249999999</v>
      </c>
      <c r="AE28">
        <v>1328.4083410000001</v>
      </c>
      <c r="AF28">
        <v>2759.679948</v>
      </c>
      <c r="AG28">
        <v>1005.161475</v>
      </c>
      <c r="AH28">
        <v>978.743111</v>
      </c>
      <c r="AI28">
        <v>906.61528199999998</v>
      </c>
      <c r="AJ28">
        <v>1413.71297</v>
      </c>
      <c r="AK28">
        <v>1498.901063</v>
      </c>
      <c r="AL28">
        <v>1163.711082</v>
      </c>
      <c r="AM28">
        <v>2376.5351649999998</v>
      </c>
      <c r="AN28">
        <v>2121.213338</v>
      </c>
      <c r="AO28">
        <v>782.73600699999997</v>
      </c>
      <c r="AP28">
        <v>942.49223800000004</v>
      </c>
      <c r="AQ28">
        <v>608.22468300000003</v>
      </c>
      <c r="AR28">
        <v>1369.009499</v>
      </c>
      <c r="AS28">
        <v>1667.1849050000001</v>
      </c>
      <c r="AT28">
        <v>1115.3708079999999</v>
      </c>
      <c r="AU28">
        <v>0</v>
      </c>
      <c r="AV28">
        <v>1520.6438250000001</v>
      </c>
      <c r="AW28">
        <v>2048.4459550000001</v>
      </c>
      <c r="AX28">
        <v>638.132203</v>
      </c>
      <c r="AY28">
        <v>1545.5572569999999</v>
      </c>
    </row>
    <row r="29" spans="1:51" x14ac:dyDescent="0.2">
      <c r="A29" s="1">
        <v>12</v>
      </c>
      <c r="B29" s="1" t="s">
        <v>4</v>
      </c>
      <c r="C29" s="1">
        <v>25</v>
      </c>
      <c r="D29" s="1" t="s">
        <v>27</v>
      </c>
      <c r="E29" s="1">
        <v>11.7</v>
      </c>
      <c r="F29" s="1">
        <v>11.7</v>
      </c>
      <c r="H29" t="str">
        <f t="shared" si="0"/>
        <v>NG_Henan_Shanxi</v>
      </c>
      <c r="I29">
        <f t="shared" si="2"/>
        <v>4452.0547945205481</v>
      </c>
      <c r="J29">
        <f t="shared" si="1"/>
        <v>4.6659742739999996E-3</v>
      </c>
      <c r="L29">
        <f t="shared" si="3"/>
        <v>-4452.0547945205481</v>
      </c>
      <c r="M29">
        <f t="shared" si="4"/>
        <v>4452.0547945205481</v>
      </c>
      <c r="N29" t="str">
        <f t="shared" si="5"/>
        <v>Henan</v>
      </c>
      <c r="O29" t="str">
        <f t="shared" si="6"/>
        <v>Shanxi</v>
      </c>
      <c r="U29" s="2" t="s">
        <v>36</v>
      </c>
      <c r="V29">
        <v>808.65989999999999</v>
      </c>
      <c r="W29">
        <v>110.003361</v>
      </c>
      <c r="X29">
        <v>1448.854691</v>
      </c>
      <c r="Y29">
        <v>1454.7118889999999</v>
      </c>
      <c r="Z29">
        <v>1234.3464919999999</v>
      </c>
      <c r="AA29">
        <v>1814.557769</v>
      </c>
      <c r="AB29">
        <v>1998.750182</v>
      </c>
      <c r="AC29">
        <v>1703.5630550000001</v>
      </c>
      <c r="AD29">
        <v>2224.6691449999998</v>
      </c>
      <c r="AE29">
        <v>192.93353099999999</v>
      </c>
      <c r="AF29">
        <v>1273.454285</v>
      </c>
      <c r="AG29">
        <v>578.90769599999999</v>
      </c>
      <c r="AH29">
        <v>986.61265100000003</v>
      </c>
      <c r="AI29">
        <v>1274.1503310000001</v>
      </c>
      <c r="AJ29">
        <v>554.67266300000006</v>
      </c>
      <c r="AK29">
        <v>821.42945099999997</v>
      </c>
      <c r="AL29">
        <v>1168.123306</v>
      </c>
      <c r="AM29">
        <v>859.24615500000004</v>
      </c>
      <c r="AN29">
        <v>601.05602299999998</v>
      </c>
      <c r="AO29">
        <v>971.26742200000001</v>
      </c>
      <c r="AP29">
        <v>1814.0976619999999</v>
      </c>
      <c r="AQ29">
        <v>912.48118899999997</v>
      </c>
      <c r="AR29">
        <v>273.821483</v>
      </c>
      <c r="AS29">
        <v>966.50114499999995</v>
      </c>
      <c r="AT29">
        <v>429.77047099999999</v>
      </c>
      <c r="AU29">
        <v>1520.6438250000001</v>
      </c>
      <c r="AV29">
        <v>0</v>
      </c>
      <c r="AW29">
        <v>2499.3906790000001</v>
      </c>
      <c r="AX29">
        <v>2070.35275</v>
      </c>
      <c r="AY29">
        <v>1023.179758</v>
      </c>
    </row>
    <row r="30" spans="1:51" x14ac:dyDescent="0.2">
      <c r="A30" s="1">
        <v>13</v>
      </c>
      <c r="B30" s="1" t="s">
        <v>11</v>
      </c>
      <c r="C30" s="1">
        <v>1</v>
      </c>
      <c r="D30" s="1" t="s">
        <v>3</v>
      </c>
      <c r="E30" s="1">
        <v>12</v>
      </c>
      <c r="F30" s="1">
        <v>12</v>
      </c>
      <c r="H30" t="str">
        <f t="shared" si="0"/>
        <v>NG_Hubei_Anhui</v>
      </c>
      <c r="I30">
        <f t="shared" si="2"/>
        <v>4566.2100456621001</v>
      </c>
      <c r="J30">
        <f t="shared" si="1"/>
        <v>4.1249779349999995E-3</v>
      </c>
      <c r="L30">
        <f t="shared" si="3"/>
        <v>-4566.2100456621001</v>
      </c>
      <c r="M30">
        <f t="shared" si="4"/>
        <v>4566.2100456621001</v>
      </c>
      <c r="N30" t="str">
        <f t="shared" si="5"/>
        <v>Hubei</v>
      </c>
      <c r="O30" t="str">
        <f t="shared" si="6"/>
        <v>Anhui</v>
      </c>
      <c r="U30" s="2" t="s">
        <v>31</v>
      </c>
      <c r="V30">
        <v>2896.1372799999999</v>
      </c>
      <c r="W30">
        <v>2405.8703639999999</v>
      </c>
      <c r="X30">
        <v>2290.749953</v>
      </c>
      <c r="Y30">
        <v>3382.6497410000002</v>
      </c>
      <c r="Z30">
        <v>1612.48504</v>
      </c>
      <c r="AA30">
        <v>3270.1761379999998</v>
      </c>
      <c r="AB30">
        <v>2999.1433379999999</v>
      </c>
      <c r="AC30">
        <v>2566.261117</v>
      </c>
      <c r="AD30">
        <v>3375.4238500000001</v>
      </c>
      <c r="AE30">
        <v>2409.2542840000001</v>
      </c>
      <c r="AF30">
        <v>3095.6351410000002</v>
      </c>
      <c r="AG30">
        <v>2435.7913629999998</v>
      </c>
      <c r="AH30">
        <v>2757.727097</v>
      </c>
      <c r="AI30">
        <v>2839.9685140000001</v>
      </c>
      <c r="AJ30">
        <v>1962.3096390000001</v>
      </c>
      <c r="AK30">
        <v>3077.4353099999998</v>
      </c>
      <c r="AL30">
        <v>3012.6968649999999</v>
      </c>
      <c r="AM30">
        <v>2995.123857</v>
      </c>
      <c r="AN30">
        <v>2899.0346199999999</v>
      </c>
      <c r="AO30">
        <v>1712.8749330000001</v>
      </c>
      <c r="AP30">
        <v>1109.7446219999999</v>
      </c>
      <c r="AQ30">
        <v>2110.248098</v>
      </c>
      <c r="AR30">
        <v>2595.325499</v>
      </c>
      <c r="AS30">
        <v>3269.0462000000002</v>
      </c>
      <c r="AT30">
        <v>2182.0787449999998</v>
      </c>
      <c r="AU30">
        <v>2048.4459550000001</v>
      </c>
      <c r="AV30">
        <v>2499.3906790000001</v>
      </c>
      <c r="AW30">
        <v>0</v>
      </c>
      <c r="AX30">
        <v>2488.5854359999998</v>
      </c>
      <c r="AY30">
        <v>3225.0184060000001</v>
      </c>
    </row>
    <row r="31" spans="1:51" x14ac:dyDescent="0.2">
      <c r="A31" s="1">
        <v>14</v>
      </c>
      <c r="B31" s="1" t="s">
        <v>23</v>
      </c>
      <c r="C31" s="1">
        <v>6</v>
      </c>
      <c r="D31" s="1" t="s">
        <v>19</v>
      </c>
      <c r="E31" s="1">
        <v>30</v>
      </c>
      <c r="F31" s="1">
        <v>30</v>
      </c>
      <c r="H31" t="str">
        <f t="shared" si="0"/>
        <v>NG_Hunan_Guangdong</v>
      </c>
      <c r="I31">
        <f t="shared" si="2"/>
        <v>11415.525114155251</v>
      </c>
      <c r="J31">
        <f t="shared" si="1"/>
        <v>7.3062647579999994E-3</v>
      </c>
      <c r="L31">
        <f t="shared" si="3"/>
        <v>-11415.525114155251</v>
      </c>
      <c r="M31">
        <f t="shared" si="4"/>
        <v>11415.525114155251</v>
      </c>
      <c r="N31" t="str">
        <f t="shared" si="5"/>
        <v>Hunan</v>
      </c>
      <c r="O31" t="str">
        <f t="shared" si="6"/>
        <v>Guangdong</v>
      </c>
      <c r="U31" s="2" t="s">
        <v>24</v>
      </c>
      <c r="V31">
        <v>1609.3007439999999</v>
      </c>
      <c r="W31">
        <v>2087.3907439999998</v>
      </c>
      <c r="X31">
        <v>622.05093099999999</v>
      </c>
      <c r="Y31">
        <v>1564.7370539999999</v>
      </c>
      <c r="Z31">
        <v>1225.016138</v>
      </c>
      <c r="AA31">
        <v>1085.7677819999999</v>
      </c>
      <c r="AB31">
        <v>619.30078600000002</v>
      </c>
      <c r="AC31">
        <v>432.912463</v>
      </c>
      <c r="AD31">
        <v>961.49391100000003</v>
      </c>
      <c r="AE31">
        <v>1878.601658</v>
      </c>
      <c r="AF31">
        <v>3337.2357740000002</v>
      </c>
      <c r="AG31">
        <v>1506.1182590000001</v>
      </c>
      <c r="AH31">
        <v>1292.1112720000001</v>
      </c>
      <c r="AI31">
        <v>1079.036558</v>
      </c>
      <c r="AJ31">
        <v>2037.7823149999999</v>
      </c>
      <c r="AK31">
        <v>1835.2012</v>
      </c>
      <c r="AL31">
        <v>1366.1630990000001</v>
      </c>
      <c r="AM31">
        <v>2927.8515640000001</v>
      </c>
      <c r="AN31">
        <v>2658.7023949999998</v>
      </c>
      <c r="AO31">
        <v>1420.601852</v>
      </c>
      <c r="AP31">
        <v>1401.4640469999999</v>
      </c>
      <c r="AQ31">
        <v>1187.2358340000001</v>
      </c>
      <c r="AR31">
        <v>1873.4966770000001</v>
      </c>
      <c r="AS31">
        <v>1964.915418</v>
      </c>
      <c r="AT31">
        <v>1699.0747240000001</v>
      </c>
      <c r="AU31">
        <v>638.132203</v>
      </c>
      <c r="AV31">
        <v>2070.35275</v>
      </c>
      <c r="AW31">
        <v>2488.5854359999998</v>
      </c>
      <c r="AX31">
        <v>0</v>
      </c>
      <c r="AY31">
        <v>1813.037728</v>
      </c>
    </row>
    <row r="32" spans="1:51" x14ac:dyDescent="0.2">
      <c r="A32" s="1">
        <v>14</v>
      </c>
      <c r="B32" s="1" t="s">
        <v>23</v>
      </c>
      <c r="C32" s="1">
        <v>7</v>
      </c>
      <c r="D32" s="1" t="s">
        <v>20</v>
      </c>
      <c r="E32" s="1">
        <v>6</v>
      </c>
      <c r="F32" s="1">
        <v>6</v>
      </c>
      <c r="H32" t="str">
        <f t="shared" si="0"/>
        <v>NG_Hunan_Guangxi</v>
      </c>
      <c r="I32">
        <f t="shared" si="2"/>
        <v>2283.1050228310501</v>
      </c>
      <c r="J32">
        <f t="shared" si="1"/>
        <v>9.8988570590000016E-3</v>
      </c>
      <c r="L32">
        <f t="shared" si="3"/>
        <v>-2283.1050228310501</v>
      </c>
      <c r="M32">
        <f t="shared" si="4"/>
        <v>2283.1050228310501</v>
      </c>
      <c r="N32" t="str">
        <f t="shared" si="5"/>
        <v>Hunan</v>
      </c>
      <c r="O32" t="str">
        <f t="shared" si="6"/>
        <v>Guangxi</v>
      </c>
      <c r="U32" s="2" t="s">
        <v>6</v>
      </c>
      <c r="V32">
        <v>329.56703599999997</v>
      </c>
      <c r="W32">
        <v>1126.57574</v>
      </c>
      <c r="X32">
        <v>1326.67741</v>
      </c>
      <c r="Y32">
        <v>501.03328599999998</v>
      </c>
      <c r="Z32">
        <v>1658.873137</v>
      </c>
      <c r="AA32">
        <v>1049.232929</v>
      </c>
      <c r="AB32">
        <v>1441.1654370000001</v>
      </c>
      <c r="AC32">
        <v>1380.2507869999999</v>
      </c>
      <c r="AD32">
        <v>1509.0742319999999</v>
      </c>
      <c r="AE32">
        <v>966.17489</v>
      </c>
      <c r="AF32">
        <v>2045.0156959999999</v>
      </c>
      <c r="AG32">
        <v>791.83906400000001</v>
      </c>
      <c r="AH32">
        <v>566.87722799999995</v>
      </c>
      <c r="AI32">
        <v>734.65696600000001</v>
      </c>
      <c r="AJ32">
        <v>1494.1314420000001</v>
      </c>
      <c r="AK32">
        <v>202.22136699999999</v>
      </c>
      <c r="AL32">
        <v>451.90945799999997</v>
      </c>
      <c r="AM32">
        <v>1580.674718</v>
      </c>
      <c r="AN32">
        <v>1313.729294</v>
      </c>
      <c r="AO32">
        <v>1512.698967</v>
      </c>
      <c r="AP32">
        <v>2279.5722129999999</v>
      </c>
      <c r="AQ32">
        <v>1146.5888050000001</v>
      </c>
      <c r="AR32">
        <v>771.82786999999996</v>
      </c>
      <c r="AS32">
        <v>165.83352600000001</v>
      </c>
      <c r="AT32">
        <v>1100.4108450000001</v>
      </c>
      <c r="AU32">
        <v>1545.5572569999999</v>
      </c>
      <c r="AV32">
        <v>1023.179758</v>
      </c>
      <c r="AW32">
        <v>3225.0184060000001</v>
      </c>
      <c r="AX32">
        <v>1813.037728</v>
      </c>
      <c r="AY32">
        <v>0</v>
      </c>
    </row>
    <row r="33" spans="1:15" x14ac:dyDescent="0.2">
      <c r="A33" s="1">
        <v>14</v>
      </c>
      <c r="B33" s="1" t="s">
        <v>23</v>
      </c>
      <c r="C33" s="1">
        <v>13</v>
      </c>
      <c r="D33" s="1" t="s">
        <v>11</v>
      </c>
      <c r="E33" s="1">
        <v>61.9</v>
      </c>
      <c r="F33" s="1">
        <v>61.9</v>
      </c>
      <c r="H33" t="str">
        <f t="shared" si="0"/>
        <v>NG_Hunan_Hubei</v>
      </c>
      <c r="I33">
        <f t="shared" si="2"/>
        <v>23554.033485540334</v>
      </c>
      <c r="J33">
        <f t="shared" si="1"/>
        <v>3.7931063429999996E-3</v>
      </c>
      <c r="L33">
        <f t="shared" si="3"/>
        <v>-23554.033485540334</v>
      </c>
      <c r="M33">
        <f t="shared" si="4"/>
        <v>23554.033485540334</v>
      </c>
      <c r="N33" t="str">
        <f t="shared" si="5"/>
        <v>Hunan</v>
      </c>
      <c r="O33" t="str">
        <f t="shared" si="6"/>
        <v>Hubei</v>
      </c>
    </row>
    <row r="34" spans="1:15" x14ac:dyDescent="0.2">
      <c r="A34" s="1">
        <v>16</v>
      </c>
      <c r="B34" s="1" t="s">
        <v>5</v>
      </c>
      <c r="C34" s="1">
        <v>12</v>
      </c>
      <c r="D34" s="1" t="s">
        <v>4</v>
      </c>
      <c r="E34" s="1">
        <v>3</v>
      </c>
      <c r="F34" s="1">
        <v>3</v>
      </c>
      <c r="H34" t="str">
        <f t="shared" ref="H34:H51" si="7">_xlfn.CONCAT("NG_",B34,"_",D34)</f>
        <v>NG_Jiangsu_Henan</v>
      </c>
      <c r="I34">
        <f t="shared" si="2"/>
        <v>1141.552511415525</v>
      </c>
      <c r="J34">
        <f t="shared" ref="J34:J51" si="8">VLOOKUP(B34,$U$3:$AY$32,C34+1,FALSE)*0.013/1000</f>
        <v>8.3759708890000003E-3</v>
      </c>
      <c r="L34">
        <f t="shared" si="3"/>
        <v>-1141.552511415525</v>
      </c>
      <c r="M34">
        <f t="shared" si="4"/>
        <v>1141.552511415525</v>
      </c>
      <c r="N34" t="str">
        <f t="shared" si="5"/>
        <v>Jiangsu</v>
      </c>
      <c r="O34" t="str">
        <f t="shared" si="6"/>
        <v>Henan</v>
      </c>
    </row>
    <row r="35" spans="1:15" x14ac:dyDescent="0.2">
      <c r="A35" s="1">
        <v>16</v>
      </c>
      <c r="B35" s="1" t="s">
        <v>5</v>
      </c>
      <c r="C35" s="1">
        <v>23</v>
      </c>
      <c r="D35" s="1" t="s">
        <v>26</v>
      </c>
      <c r="E35" s="1">
        <v>34</v>
      </c>
      <c r="F35" s="1">
        <v>34</v>
      </c>
      <c r="H35" t="str">
        <f t="shared" si="7"/>
        <v>NG_Jiangsu_Shandong</v>
      </c>
      <c r="I35">
        <f t="shared" si="2"/>
        <v>12937.59512937595</v>
      </c>
      <c r="J35">
        <f t="shared" si="8"/>
        <v>7.4646473459999991E-3</v>
      </c>
      <c r="L35">
        <f t="shared" si="3"/>
        <v>-12937.59512937595</v>
      </c>
      <c r="M35">
        <f t="shared" si="4"/>
        <v>12937.59512937595</v>
      </c>
      <c r="N35" t="str">
        <f t="shared" si="5"/>
        <v>Jiangsu</v>
      </c>
      <c r="O35" t="str">
        <f t="shared" si="6"/>
        <v>Shandong</v>
      </c>
    </row>
    <row r="36" spans="1:15" x14ac:dyDescent="0.2">
      <c r="A36" s="1">
        <v>17</v>
      </c>
      <c r="B36" s="1" t="s">
        <v>14</v>
      </c>
      <c r="C36" s="1">
        <v>6</v>
      </c>
      <c r="D36" s="1" t="s">
        <v>19</v>
      </c>
      <c r="E36" s="1">
        <v>30</v>
      </c>
      <c r="F36" s="1">
        <v>30</v>
      </c>
      <c r="H36" t="str">
        <f t="shared" si="7"/>
        <v>NG_Jiangxi_Guangdong</v>
      </c>
      <c r="I36">
        <f t="shared" si="2"/>
        <v>11415.525114155251</v>
      </c>
      <c r="J36">
        <f t="shared" si="8"/>
        <v>8.6945788279999998E-3</v>
      </c>
      <c r="L36">
        <f t="shared" si="3"/>
        <v>-11415.525114155251</v>
      </c>
      <c r="M36">
        <f t="shared" si="4"/>
        <v>11415.525114155251</v>
      </c>
      <c r="N36" t="str">
        <f t="shared" si="5"/>
        <v>Jiangxi</v>
      </c>
      <c r="O36" t="str">
        <f t="shared" si="6"/>
        <v>Guangdong</v>
      </c>
    </row>
    <row r="37" spans="1:15" x14ac:dyDescent="0.2">
      <c r="A37" s="1">
        <v>17</v>
      </c>
      <c r="B37" s="1" t="s">
        <v>14</v>
      </c>
      <c r="C37" s="1">
        <v>13</v>
      </c>
      <c r="D37" s="1" t="s">
        <v>11</v>
      </c>
      <c r="E37" s="1">
        <v>30</v>
      </c>
      <c r="F37" s="1">
        <v>30</v>
      </c>
      <c r="H37" t="str">
        <f t="shared" si="7"/>
        <v>NG_Jiangxi_Hubei</v>
      </c>
      <c r="I37">
        <f t="shared" si="2"/>
        <v>11415.525114155251</v>
      </c>
      <c r="J37">
        <f t="shared" si="8"/>
        <v>3.4057850969999998E-3</v>
      </c>
      <c r="L37">
        <f t="shared" si="3"/>
        <v>-11415.525114155251</v>
      </c>
      <c r="M37">
        <f t="shared" si="4"/>
        <v>11415.525114155251</v>
      </c>
      <c r="N37" t="str">
        <f t="shared" si="5"/>
        <v>Jiangxi</v>
      </c>
      <c r="O37" t="str">
        <f t="shared" si="6"/>
        <v>Hubei</v>
      </c>
    </row>
    <row r="38" spans="1:15" x14ac:dyDescent="0.2">
      <c r="A38" s="1">
        <v>17</v>
      </c>
      <c r="B38" s="1" t="s">
        <v>14</v>
      </c>
      <c r="C38" s="1">
        <v>14</v>
      </c>
      <c r="D38" s="1" t="s">
        <v>23</v>
      </c>
      <c r="E38" s="1">
        <v>46.5</v>
      </c>
      <c r="F38" s="1">
        <v>46.5</v>
      </c>
      <c r="H38" t="str">
        <f t="shared" si="7"/>
        <v>NG_Jiangxi_Hunan</v>
      </c>
      <c r="I38">
        <f t="shared" si="2"/>
        <v>17694.063926940638</v>
      </c>
      <c r="J38">
        <f t="shared" si="8"/>
        <v>3.7469033420000001E-3</v>
      </c>
      <c r="L38">
        <f t="shared" si="3"/>
        <v>-17694.063926940638</v>
      </c>
      <c r="M38">
        <f t="shared" si="4"/>
        <v>17694.063926940638</v>
      </c>
      <c r="N38" t="str">
        <f t="shared" si="5"/>
        <v>Jiangxi</v>
      </c>
      <c r="O38" t="str">
        <f t="shared" si="6"/>
        <v>Hunan</v>
      </c>
    </row>
    <row r="39" spans="1:15" x14ac:dyDescent="0.2">
      <c r="A39" s="1">
        <v>17</v>
      </c>
      <c r="B39" s="1" t="s">
        <v>14</v>
      </c>
      <c r="C39" s="1">
        <v>30</v>
      </c>
      <c r="D39" s="1" t="s">
        <v>6</v>
      </c>
      <c r="E39" s="1">
        <v>17.600000000000001</v>
      </c>
      <c r="F39" s="1">
        <v>17.600000000000001</v>
      </c>
      <c r="H39" t="str">
        <f t="shared" si="7"/>
        <v>NG_Jiangxi_Zhejiang</v>
      </c>
      <c r="I39">
        <f t="shared" si="2"/>
        <v>6697.1080669710818</v>
      </c>
      <c r="J39">
        <f t="shared" si="8"/>
        <v>5.8748229539999988E-3</v>
      </c>
      <c r="L39">
        <f t="shared" si="3"/>
        <v>-6697.1080669710818</v>
      </c>
      <c r="M39">
        <f t="shared" si="4"/>
        <v>6697.1080669710818</v>
      </c>
      <c r="N39" t="str">
        <f t="shared" si="5"/>
        <v>Jiangxi</v>
      </c>
      <c r="O39" t="str">
        <f t="shared" si="6"/>
        <v>Zhejiang</v>
      </c>
    </row>
    <row r="40" spans="1:15" x14ac:dyDescent="0.2">
      <c r="A40" s="1">
        <v>19</v>
      </c>
      <c r="B40" s="1" t="s">
        <v>25</v>
      </c>
      <c r="C40" s="1">
        <v>18</v>
      </c>
      <c r="D40" s="1" t="s">
        <v>30</v>
      </c>
      <c r="E40" s="1">
        <v>38</v>
      </c>
      <c r="F40" s="1">
        <v>38</v>
      </c>
      <c r="H40" t="str">
        <f t="shared" si="7"/>
        <v>NG_Liaoning_Jilin</v>
      </c>
      <c r="I40">
        <f t="shared" si="2"/>
        <v>14459.665144596651</v>
      </c>
      <c r="J40">
        <f t="shared" si="8"/>
        <v>3.6623131349999994E-3</v>
      </c>
      <c r="L40">
        <f t="shared" si="3"/>
        <v>-14459.665144596651</v>
      </c>
      <c r="M40">
        <f t="shared" si="4"/>
        <v>14459.665144596651</v>
      </c>
      <c r="N40" t="str">
        <f t="shared" si="5"/>
        <v>Liaoning</v>
      </c>
      <c r="O40" t="str">
        <f t="shared" si="6"/>
        <v>Jilin</v>
      </c>
    </row>
    <row r="41" spans="1:15" x14ac:dyDescent="0.2">
      <c r="A41" s="1">
        <v>20</v>
      </c>
      <c r="B41" s="1" t="s">
        <v>16</v>
      </c>
      <c r="C41" s="1">
        <v>28</v>
      </c>
      <c r="D41" s="1" t="s">
        <v>31</v>
      </c>
      <c r="E41" s="1">
        <v>182</v>
      </c>
      <c r="F41" s="1">
        <v>182</v>
      </c>
      <c r="H41" t="str">
        <f t="shared" si="7"/>
        <v>NG_Ningxia_Xinjiang</v>
      </c>
      <c r="I41">
        <f t="shared" si="2"/>
        <v>69254.185692541869</v>
      </c>
      <c r="J41">
        <f t="shared" si="8"/>
        <v>2.2267374129000001E-2</v>
      </c>
      <c r="L41">
        <f t="shared" si="3"/>
        <v>-69254.185692541869</v>
      </c>
      <c r="M41">
        <f t="shared" si="4"/>
        <v>69254.185692541869</v>
      </c>
      <c r="N41" t="str">
        <f t="shared" si="5"/>
        <v>Ningxia</v>
      </c>
      <c r="O41" t="str">
        <f t="shared" si="6"/>
        <v>Xinjiang</v>
      </c>
    </row>
    <row r="42" spans="1:15" x14ac:dyDescent="0.2">
      <c r="A42" s="1">
        <v>22</v>
      </c>
      <c r="B42" s="1" t="s">
        <v>18</v>
      </c>
      <c r="C42" s="1">
        <v>12</v>
      </c>
      <c r="D42" s="1" t="s">
        <v>4</v>
      </c>
      <c r="E42" s="1">
        <v>90</v>
      </c>
      <c r="F42" s="1">
        <v>90</v>
      </c>
      <c r="H42" t="str">
        <f t="shared" si="7"/>
        <v>NG_Shaanxi_Henan</v>
      </c>
      <c r="I42">
        <f t="shared" si="2"/>
        <v>34246.575342465752</v>
      </c>
      <c r="J42">
        <f t="shared" si="8"/>
        <v>5.6439250529999995E-3</v>
      </c>
      <c r="L42">
        <f t="shared" si="3"/>
        <v>-34246.575342465752</v>
      </c>
      <c r="M42">
        <f t="shared" si="4"/>
        <v>34246.575342465752</v>
      </c>
      <c r="N42" t="str">
        <f t="shared" si="5"/>
        <v>Shaanxi</v>
      </c>
      <c r="O42" t="str">
        <f t="shared" si="6"/>
        <v>Henan</v>
      </c>
    </row>
    <row r="43" spans="1:15" x14ac:dyDescent="0.2">
      <c r="A43" s="1">
        <v>22</v>
      </c>
      <c r="B43" s="1" t="s">
        <v>18</v>
      </c>
      <c r="C43" s="1">
        <v>15</v>
      </c>
      <c r="D43" s="1" t="s">
        <v>34</v>
      </c>
      <c r="E43" s="1">
        <v>25</v>
      </c>
      <c r="F43" s="1">
        <v>65.599999999999994</v>
      </c>
      <c r="H43" t="str">
        <f t="shared" si="7"/>
        <v>NG_Shaanxi_West_Inner_Mongolia</v>
      </c>
      <c r="I43">
        <f t="shared" si="2"/>
        <v>9512.937595129375</v>
      </c>
      <c r="J43">
        <f t="shared" si="8"/>
        <v>1.1345331257E-2</v>
      </c>
      <c r="L43">
        <f t="shared" si="3"/>
        <v>-9512.937595129375</v>
      </c>
      <c r="M43">
        <f t="shared" si="4"/>
        <v>9512.937595129375</v>
      </c>
      <c r="N43" t="str">
        <f t="shared" si="5"/>
        <v>Shaanxi</v>
      </c>
      <c r="O43" t="str">
        <f t="shared" si="6"/>
        <v>West_Inner_Mongolia</v>
      </c>
    </row>
    <row r="44" spans="1:15" x14ac:dyDescent="0.2">
      <c r="A44" s="1">
        <v>22</v>
      </c>
      <c r="B44" s="1" t="s">
        <v>18</v>
      </c>
      <c r="C44" s="1">
        <v>20</v>
      </c>
      <c r="D44" s="1" t="s">
        <v>16</v>
      </c>
      <c r="E44" s="1">
        <v>167.6</v>
      </c>
      <c r="F44" s="1">
        <v>167.6</v>
      </c>
      <c r="H44" t="str">
        <f t="shared" si="7"/>
        <v>NG_Shaanxi_Ningxia</v>
      </c>
      <c r="I44">
        <f t="shared" si="2"/>
        <v>63774.733637747326</v>
      </c>
      <c r="J44">
        <f t="shared" si="8"/>
        <v>5.5920126339999996E-3</v>
      </c>
      <c r="L44">
        <f t="shared" si="3"/>
        <v>-63774.733637747326</v>
      </c>
      <c r="M44">
        <f t="shared" si="4"/>
        <v>63774.733637747326</v>
      </c>
      <c r="N44" t="str">
        <f t="shared" si="5"/>
        <v>Shaanxi</v>
      </c>
      <c r="O44" t="str">
        <f t="shared" si="6"/>
        <v>Ningxia</v>
      </c>
    </row>
    <row r="45" spans="1:15" x14ac:dyDescent="0.2">
      <c r="A45" s="1">
        <v>22</v>
      </c>
      <c r="B45" s="1" t="s">
        <v>18</v>
      </c>
      <c r="C45" s="1">
        <v>25</v>
      </c>
      <c r="D45" s="1" t="s">
        <v>27</v>
      </c>
      <c r="E45" s="1">
        <v>37</v>
      </c>
      <c r="F45" s="1">
        <v>37</v>
      </c>
      <c r="H45" t="str">
        <f t="shared" si="7"/>
        <v>NG_Shaanxi_Shanxi</v>
      </c>
      <c r="I45">
        <f t="shared" si="2"/>
        <v>14079.14764079148</v>
      </c>
      <c r="J45">
        <f t="shared" si="8"/>
        <v>6.6779507860000005E-3</v>
      </c>
      <c r="L45">
        <f t="shared" si="3"/>
        <v>-14079.14764079148</v>
      </c>
      <c r="M45">
        <f t="shared" si="4"/>
        <v>14079.14764079148</v>
      </c>
      <c r="N45" t="str">
        <f t="shared" si="5"/>
        <v>Shaanxi</v>
      </c>
      <c r="O45" t="str">
        <f t="shared" si="6"/>
        <v>Shanxi</v>
      </c>
    </row>
    <row r="46" spans="1:15" x14ac:dyDescent="0.2">
      <c r="A46" s="1">
        <v>22</v>
      </c>
      <c r="B46" s="1" t="s">
        <v>18</v>
      </c>
      <c r="C46" s="1">
        <v>26</v>
      </c>
      <c r="D46" s="1" t="s">
        <v>12</v>
      </c>
      <c r="E46" s="1">
        <v>3.1</v>
      </c>
      <c r="F46" s="1">
        <v>38.1</v>
      </c>
      <c r="H46" t="str">
        <f t="shared" si="7"/>
        <v>NG_Shaanxi_Sichuan</v>
      </c>
      <c r="I46">
        <f t="shared" si="2"/>
        <v>1179.6042617960427</v>
      </c>
      <c r="J46">
        <f t="shared" si="8"/>
        <v>7.9069208790000008E-3</v>
      </c>
      <c r="L46">
        <f t="shared" si="3"/>
        <v>-1179.6042617960427</v>
      </c>
      <c r="M46">
        <f t="shared" si="4"/>
        <v>1179.6042617960427</v>
      </c>
      <c r="N46" t="str">
        <f t="shared" si="5"/>
        <v>Shaanxi</v>
      </c>
      <c r="O46" t="str">
        <f t="shared" si="6"/>
        <v>Sichuan</v>
      </c>
    </row>
    <row r="47" spans="1:15" x14ac:dyDescent="0.2">
      <c r="A47" s="1">
        <v>24</v>
      </c>
      <c r="B47" s="1" t="s">
        <v>32</v>
      </c>
      <c r="C47" s="1">
        <v>16</v>
      </c>
      <c r="D47" s="1" t="s">
        <v>5</v>
      </c>
      <c r="E47" s="1">
        <v>15.3</v>
      </c>
      <c r="F47" s="1">
        <v>15.3</v>
      </c>
      <c r="H47" t="str">
        <f t="shared" si="7"/>
        <v>NG_Shanghai_Jiangsu</v>
      </c>
      <c r="I47">
        <f t="shared" si="2"/>
        <v>5821.9178082191784</v>
      </c>
      <c r="J47">
        <f t="shared" si="8"/>
        <v>2.5011782769999999E-3</v>
      </c>
      <c r="L47">
        <f t="shared" si="3"/>
        <v>-5821.9178082191784</v>
      </c>
      <c r="M47">
        <f t="shared" si="4"/>
        <v>5821.9178082191784</v>
      </c>
      <c r="N47" t="str">
        <f t="shared" si="5"/>
        <v>Shanghai</v>
      </c>
      <c r="O47" t="str">
        <f t="shared" si="6"/>
        <v>Jiangsu</v>
      </c>
    </row>
    <row r="48" spans="1:15" x14ac:dyDescent="0.2">
      <c r="A48" s="1">
        <v>24</v>
      </c>
      <c r="B48" s="1" t="s">
        <v>32</v>
      </c>
      <c r="C48" s="1">
        <v>30</v>
      </c>
      <c r="D48" s="1" t="s">
        <v>6</v>
      </c>
      <c r="E48" s="1">
        <v>18.100000000000001</v>
      </c>
      <c r="F48" s="1">
        <v>18.100000000000001</v>
      </c>
      <c r="H48" t="str">
        <f t="shared" si="7"/>
        <v>NG_Shanghai_Zhejiang</v>
      </c>
      <c r="I48">
        <f t="shared" si="2"/>
        <v>6887.3668188736692</v>
      </c>
      <c r="J48">
        <f t="shared" si="8"/>
        <v>2.1558358379999997E-3</v>
      </c>
      <c r="L48">
        <f t="shared" si="3"/>
        <v>-6887.3668188736692</v>
      </c>
      <c r="M48">
        <f t="shared" si="4"/>
        <v>6887.3668188736692</v>
      </c>
      <c r="N48" t="str">
        <f t="shared" si="5"/>
        <v>Shanghai</v>
      </c>
      <c r="O48" t="str">
        <f t="shared" si="6"/>
        <v>Zhejiang</v>
      </c>
    </row>
    <row r="49" spans="1:15" x14ac:dyDescent="0.2">
      <c r="A49" s="1">
        <v>26</v>
      </c>
      <c r="B49" s="1" t="s">
        <v>12</v>
      </c>
      <c r="C49" s="1">
        <v>20</v>
      </c>
      <c r="D49" s="1" t="s">
        <v>16</v>
      </c>
      <c r="E49" s="1">
        <v>15</v>
      </c>
      <c r="F49" s="1">
        <v>15</v>
      </c>
      <c r="H49" t="str">
        <f t="shared" si="7"/>
        <v>NG_Sichuan_Ningxia</v>
      </c>
      <c r="I49">
        <f t="shared" si="2"/>
        <v>5707.7625570776254</v>
      </c>
      <c r="J49">
        <f t="shared" si="8"/>
        <v>1.0175568090999999E-2</v>
      </c>
      <c r="L49">
        <f t="shared" si="3"/>
        <v>-5707.7625570776254</v>
      </c>
      <c r="M49">
        <f t="shared" si="4"/>
        <v>5707.7625570776254</v>
      </c>
      <c r="N49" t="str">
        <f t="shared" si="5"/>
        <v>Sichuan</v>
      </c>
      <c r="O49" t="str">
        <f t="shared" si="6"/>
        <v>Ningxia</v>
      </c>
    </row>
    <row r="50" spans="1:15" x14ac:dyDescent="0.2">
      <c r="A50" s="1">
        <v>29</v>
      </c>
      <c r="B50" s="1" t="s">
        <v>24</v>
      </c>
      <c r="C50" s="1">
        <v>26</v>
      </c>
      <c r="D50" s="1" t="s">
        <v>12</v>
      </c>
      <c r="E50" s="1">
        <v>3</v>
      </c>
      <c r="F50" s="1">
        <v>8.4</v>
      </c>
      <c r="H50" t="str">
        <f t="shared" si="7"/>
        <v>NG_Yunnan_Sichuan</v>
      </c>
      <c r="I50">
        <f t="shared" si="2"/>
        <v>1141.552511415525</v>
      </c>
      <c r="J50">
        <f t="shared" si="8"/>
        <v>8.295718639000001E-3</v>
      </c>
      <c r="L50">
        <f t="shared" si="3"/>
        <v>-1141.552511415525</v>
      </c>
      <c r="M50">
        <f t="shared" si="4"/>
        <v>1141.552511415525</v>
      </c>
      <c r="N50" t="str">
        <f t="shared" si="5"/>
        <v>Yunnan</v>
      </c>
      <c r="O50" t="str">
        <f t="shared" si="6"/>
        <v>Sichuan</v>
      </c>
    </row>
    <row r="51" spans="1:15" x14ac:dyDescent="0.2">
      <c r="A51" s="1">
        <v>30</v>
      </c>
      <c r="B51" s="1" t="s">
        <v>6</v>
      </c>
      <c r="C51" s="1">
        <v>16</v>
      </c>
      <c r="D51" s="1" t="s">
        <v>5</v>
      </c>
      <c r="E51" s="1">
        <v>12</v>
      </c>
      <c r="F51" s="1">
        <v>12</v>
      </c>
      <c r="H51" t="str">
        <f t="shared" si="7"/>
        <v>NG_Zhejiang_Jiangsu</v>
      </c>
      <c r="I51">
        <f>E51/8760*10*10^6/3</f>
        <v>4566.2100456621001</v>
      </c>
      <c r="J51">
        <f t="shared" si="8"/>
        <v>2.6288777709999995E-3</v>
      </c>
      <c r="L51">
        <f t="shared" si="3"/>
        <v>-4566.2100456621001</v>
      </c>
      <c r="M51">
        <f t="shared" si="4"/>
        <v>4566.2100456621001</v>
      </c>
      <c r="N51" t="str">
        <f t="shared" si="5"/>
        <v>Zhejiang</v>
      </c>
      <c r="O51" t="str">
        <f t="shared" si="6"/>
        <v>Jiangsu</v>
      </c>
    </row>
  </sheetData>
  <sortState xmlns:xlrd2="http://schemas.microsoft.com/office/spreadsheetml/2017/richdata2" ref="U3:AY32">
    <sortCondition ref="U3:U3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Haozhe Yang</dc:creator>
  <cp:lastModifiedBy>Haozhe Yang</cp:lastModifiedBy>
  <dcterms:created xsi:type="dcterms:W3CDTF">2025-08-31T04:22:19Z</dcterms:created>
  <dcterms:modified xsi:type="dcterms:W3CDTF">2025-08-31T12:29:14Z</dcterms:modified>
</cp:coreProperties>
</file>