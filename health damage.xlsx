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y4174/Documents/Hydrogen/"/>
    </mc:Choice>
  </mc:AlternateContent>
  <xr:revisionPtr revIDLastSave="0" documentId="13_ncr:1_{BF69F1B9-B615-CB41-9AC8-9AE848E36722}" xr6:coauthVersionLast="47" xr6:coauthVersionMax="47" xr10:uidLastSave="{00000000-0000-0000-0000-000000000000}"/>
  <bookViews>
    <workbookView xWindow="820" yWindow="760" windowWidth="28040" windowHeight="17440" xr2:uid="{A7CDD474-0049-854E-B28E-06B83865AD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6" i="1" l="1"/>
  <c r="B20" i="1"/>
  <c r="B16" i="1"/>
  <c r="W32" i="1"/>
  <c r="U34" i="1"/>
  <c r="V32" i="1"/>
  <c r="T32" i="1"/>
  <c r="T33" i="1"/>
  <c r="V33" i="1" s="1"/>
  <c r="T34" i="1"/>
  <c r="V34" i="1" s="1"/>
  <c r="S33" i="1"/>
  <c r="S34" i="1"/>
  <c r="S32" i="1"/>
  <c r="Y25" i="1"/>
  <c r="W27" i="1"/>
  <c r="X27" i="1" s="1"/>
  <c r="W34" i="1" s="1"/>
  <c r="W26" i="1"/>
  <c r="W25" i="1"/>
  <c r="X25" i="1"/>
  <c r="W33" i="1" s="1"/>
  <c r="V26" i="1"/>
  <c r="V25" i="1"/>
  <c r="D38" i="1" l="1"/>
  <c r="C40" i="1"/>
  <c r="C39" i="1"/>
  <c r="C38" i="1"/>
  <c r="C10" i="1"/>
  <c r="D39" i="1" l="1"/>
  <c r="X26" i="1"/>
  <c r="D34" i="1"/>
  <c r="D33" i="1"/>
  <c r="V24" i="1"/>
  <c r="D10" i="1" l="1"/>
  <c r="B10" i="1"/>
</calcChain>
</file>

<file path=xl/sharedStrings.xml><?xml version="1.0" encoding="utf-8"?>
<sst xmlns="http://schemas.openxmlformats.org/spreadsheetml/2006/main" count="66" uniqueCount="55">
  <si>
    <t>GDP</t>
  </si>
  <si>
    <t>Region</t>
  </si>
  <si>
    <t>Model - Scenario</t>
  </si>
  <si>
    <t>Variable</t>
  </si>
  <si>
    <t>Unit</t>
  </si>
  <si>
    <t>R32CHN</t>
  </si>
  <si>
    <t>IIASA-WiC POP - SSP2</t>
  </si>
  <si>
    <t>Population</t>
  </si>
  <si>
    <t>million</t>
  </si>
  <si>
    <t>OECD Env-Growth - SSP2</t>
  </si>
  <si>
    <t>Deaht</t>
  </si>
  <si>
    <t>thousand</t>
  </si>
  <si>
    <t>VSL</t>
  </si>
  <si>
    <t>million $</t>
  </si>
  <si>
    <t>billion $</t>
  </si>
  <si>
    <t>coal</t>
  </si>
  <si>
    <t>TWh</t>
  </si>
  <si>
    <t>scenario</t>
  </si>
  <si>
    <t>Coal</t>
  </si>
  <si>
    <t>Gas</t>
  </si>
  <si>
    <t>Hydro</t>
  </si>
  <si>
    <t>Nuclear</t>
  </si>
  <si>
    <t>Offshore_Wind</t>
  </si>
  <si>
    <t>Wind</t>
  </si>
  <si>
    <t>Solar</t>
  </si>
  <si>
    <t>Battery</t>
  </si>
  <si>
    <t>Pumped_hydro</t>
  </si>
  <si>
    <t>Electrolyzer</t>
  </si>
  <si>
    <t>H2_turbine</t>
  </si>
  <si>
    <t>Fuel_cell</t>
  </si>
  <si>
    <t>Salt_cavern</t>
  </si>
  <si>
    <t>Tank</t>
  </si>
  <si>
    <t>Grid</t>
  </si>
  <si>
    <t>H2_Pipeline</t>
  </si>
  <si>
    <t>CO2_Pipeline</t>
  </si>
  <si>
    <t>DAC</t>
  </si>
  <si>
    <t>CCS_storage</t>
  </si>
  <si>
    <t>BECCS</t>
  </si>
  <si>
    <t>Hydrogen_400ppm_1period_36day</t>
  </si>
  <si>
    <t>Hydrogen_400ppm_1period_36day_ccs_storage</t>
  </si>
  <si>
    <t>Hydrogen_400ppm_1period_36day_ccs_storage_biomass</t>
  </si>
  <si>
    <t>cost</t>
  </si>
  <si>
    <t>generation</t>
  </si>
  <si>
    <t>total</t>
  </si>
  <si>
    <t>Biomass</t>
  </si>
  <si>
    <t>LCOE</t>
  </si>
  <si>
    <t>Health damage</t>
  </si>
  <si>
    <t>Hydrogen_400ppm_1period_36day_ccs_storage_80</t>
  </si>
  <si>
    <t xml:space="preserve">ZE </t>
  </si>
  <si>
    <t>ZE + CCS +DAC</t>
  </si>
  <si>
    <t>ZE + CCS +DAC + BECCS</t>
  </si>
  <si>
    <t>Private cost</t>
  </si>
  <si>
    <t>Total cost</t>
  </si>
  <si>
    <t>Social cost of coal generation</t>
  </si>
  <si>
    <t>Social cost of BECCS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</si>
</sst>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9"/>
      <color theme="1"/>
      <name val="Verdana"/>
      <family val="2"/>
    </font>
    <font>
      <b/>
      <sz val="9"/>
      <color theme="1"/>
      <name val="Verdana"/>
      <family val="2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BDFF2-BAFB-2940-815E-BEC05D7ADD49}">
  <dimension ref="A2:Y40"/>
  <sheetViews>
    <sheetView tabSelected="1" topLeftCell="R14" workbookViewId="0">
      <selection activeCell="Y25" sqref="Y25:Y26"/>
    </sheetView>
  </sheetViews>
  <sheetFormatPr baseColWidth="10" defaultRowHeight="16" x14ac:dyDescent="0.2"/>
  <cols>
    <col min="2" max="2" width="12.1640625" bestFit="1" customWidth="1"/>
    <col min="23" max="23" width="12.1640625" bestFit="1" customWidth="1"/>
  </cols>
  <sheetData>
    <row r="2" spans="1:23" x14ac:dyDescent="0.2">
      <c r="A2" t="s">
        <v>0</v>
      </c>
      <c r="B2" s="1">
        <v>20838.197</v>
      </c>
      <c r="C2" s="1">
        <v>27768.592000000001</v>
      </c>
      <c r="D2" s="1">
        <v>34165.438999999998</v>
      </c>
      <c r="E2" s="1">
        <v>39551.646999999997</v>
      </c>
      <c r="F2" s="1">
        <v>44317.728999999999</v>
      </c>
      <c r="G2" s="1">
        <v>48505.667999999998</v>
      </c>
      <c r="H2" s="1">
        <v>51776.28</v>
      </c>
    </row>
    <row r="4" spans="1:23" x14ac:dyDescent="0.2">
      <c r="A4" s="2" t="s">
        <v>1</v>
      </c>
      <c r="B4" s="2" t="s">
        <v>2</v>
      </c>
      <c r="C4" s="2" t="s">
        <v>3</v>
      </c>
      <c r="D4" s="2" t="s">
        <v>4</v>
      </c>
      <c r="E4" s="2">
        <v>2010</v>
      </c>
      <c r="F4" s="2">
        <v>2015</v>
      </c>
      <c r="G4" s="2">
        <v>2020</v>
      </c>
      <c r="H4" s="2">
        <v>2025</v>
      </c>
      <c r="I4" s="2">
        <v>2030</v>
      </c>
      <c r="J4" s="2">
        <v>2035</v>
      </c>
      <c r="K4" s="2">
        <v>2040</v>
      </c>
      <c r="L4" s="2">
        <v>2045</v>
      </c>
      <c r="M4" s="2">
        <v>2050</v>
      </c>
      <c r="N4" s="2">
        <v>2055</v>
      </c>
      <c r="O4" s="2">
        <v>2060</v>
      </c>
      <c r="P4" s="2">
        <v>2065</v>
      </c>
      <c r="Q4" s="2">
        <v>2070</v>
      </c>
      <c r="R4" s="2">
        <v>2075</v>
      </c>
      <c r="S4" s="2">
        <v>2080</v>
      </c>
      <c r="T4" s="2">
        <v>2085</v>
      </c>
      <c r="U4" s="2">
        <v>2090</v>
      </c>
      <c r="V4" s="2">
        <v>2095</v>
      </c>
      <c r="W4" s="2">
        <v>2100</v>
      </c>
    </row>
    <row r="5" spans="1:23" x14ac:dyDescent="0.2">
      <c r="A5" s="1" t="s">
        <v>5</v>
      </c>
      <c r="B5" s="1" t="s">
        <v>6</v>
      </c>
      <c r="C5" s="1" t="s">
        <v>7</v>
      </c>
      <c r="D5" s="1" t="s">
        <v>8</v>
      </c>
      <c r="E5" s="1">
        <v>1348.932</v>
      </c>
      <c r="F5" s="1">
        <v>1371.3689999999999</v>
      </c>
      <c r="G5" s="1">
        <v>1387.491</v>
      </c>
      <c r="H5" s="1">
        <v>1393.7339999999999</v>
      </c>
      <c r="I5" s="1">
        <v>1389.5820000000001</v>
      </c>
      <c r="J5" s="1">
        <v>1374.5340000000001</v>
      </c>
      <c r="K5" s="1">
        <v>1349.14</v>
      </c>
      <c r="L5" s="1">
        <v>1314.9369999999999</v>
      </c>
      <c r="M5" s="1">
        <v>1273.184</v>
      </c>
      <c r="N5" s="1">
        <v>1225.636</v>
      </c>
      <c r="O5" s="1">
        <v>1174.1790000000001</v>
      </c>
      <c r="P5" s="1">
        <v>1120.905</v>
      </c>
      <c r="Q5" s="1">
        <v>1067.617</v>
      </c>
      <c r="R5" s="1">
        <v>1014.694</v>
      </c>
      <c r="S5" s="1">
        <v>962.13300000000004</v>
      </c>
      <c r="T5" s="1">
        <v>910.77300000000002</v>
      </c>
      <c r="U5" s="1">
        <v>862.21</v>
      </c>
      <c r="V5" s="1">
        <v>817.44799999999998</v>
      </c>
      <c r="W5" s="1">
        <v>776.50099999999998</v>
      </c>
    </row>
    <row r="6" spans="1:23" x14ac:dyDescent="0.2">
      <c r="A6" s="1" t="s">
        <v>5</v>
      </c>
      <c r="B6" s="1" t="s">
        <v>9</v>
      </c>
      <c r="C6" s="1" t="s">
        <v>7</v>
      </c>
      <c r="D6" s="1" t="s">
        <v>8</v>
      </c>
      <c r="E6" s="1">
        <v>1348.932</v>
      </c>
      <c r="F6" s="1">
        <v>1371.3689999999999</v>
      </c>
      <c r="G6" s="1">
        <v>1387.491</v>
      </c>
      <c r="H6" s="1">
        <v>1393.7339999999999</v>
      </c>
      <c r="I6" s="1">
        <v>1389.5820000000001</v>
      </c>
      <c r="J6" s="1">
        <v>1374.5340000000001</v>
      </c>
      <c r="K6" s="1">
        <v>1349.14</v>
      </c>
      <c r="L6" s="1">
        <v>1314.9369999999999</v>
      </c>
      <c r="M6" s="1">
        <v>1273.184</v>
      </c>
      <c r="N6" s="1">
        <v>1225.636</v>
      </c>
    </row>
    <row r="9" spans="1:23" x14ac:dyDescent="0.2">
      <c r="B9">
        <v>2020</v>
      </c>
      <c r="C9">
        <v>2050</v>
      </c>
    </row>
    <row r="10" spans="1:23" x14ac:dyDescent="0.2">
      <c r="B10">
        <f>B2/I5</f>
        <v>14.996018227063965</v>
      </c>
      <c r="C10">
        <f>H2/M5</f>
        <v>40.666769296503887</v>
      </c>
      <c r="D10">
        <f>C10/B10</f>
        <v>2.7118378145947304</v>
      </c>
    </row>
    <row r="13" spans="1:23" x14ac:dyDescent="0.2">
      <c r="A13" t="s">
        <v>10</v>
      </c>
      <c r="B13">
        <v>94</v>
      </c>
      <c r="C13" t="s">
        <v>11</v>
      </c>
    </row>
    <row r="14" spans="1:23" x14ac:dyDescent="0.2">
      <c r="A14" t="s">
        <v>12</v>
      </c>
      <c r="B14">
        <v>5.54</v>
      </c>
      <c r="C14" t="s">
        <v>13</v>
      </c>
    </row>
    <row r="16" spans="1:23" x14ac:dyDescent="0.2">
      <c r="B16">
        <f>B14*B13</f>
        <v>520.76</v>
      </c>
      <c r="C16" t="s">
        <v>14</v>
      </c>
    </row>
    <row r="19" spans="1:25" x14ac:dyDescent="0.2">
      <c r="A19" t="s">
        <v>15</v>
      </c>
      <c r="B19" s="3">
        <v>5010.4693617979801</v>
      </c>
      <c r="C19" t="s">
        <v>16</v>
      </c>
    </row>
    <row r="20" spans="1:25" x14ac:dyDescent="0.2">
      <c r="B20">
        <f>B16/B19*1000</f>
        <v>103.93437468563386</v>
      </c>
    </row>
    <row r="22" spans="1:25" x14ac:dyDescent="0.2">
      <c r="A22" t="s">
        <v>41</v>
      </c>
    </row>
    <row r="23" spans="1:25" x14ac:dyDescent="0.2">
      <c r="A23" t="s">
        <v>17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 t="s">
        <v>23</v>
      </c>
      <c r="H23" t="s">
        <v>24</v>
      </c>
      <c r="I23" t="s">
        <v>25</v>
      </c>
      <c r="J23" t="s">
        <v>26</v>
      </c>
      <c r="K23" t="s">
        <v>27</v>
      </c>
      <c r="L23" t="s">
        <v>28</v>
      </c>
      <c r="M23" t="s">
        <v>29</v>
      </c>
      <c r="N23" t="s">
        <v>30</v>
      </c>
      <c r="O23" t="s">
        <v>31</v>
      </c>
      <c r="P23" t="s">
        <v>32</v>
      </c>
      <c r="Q23" t="s">
        <v>33</v>
      </c>
      <c r="R23" t="s">
        <v>34</v>
      </c>
      <c r="S23" t="s">
        <v>35</v>
      </c>
      <c r="T23" t="s">
        <v>36</v>
      </c>
      <c r="U23" t="s">
        <v>37</v>
      </c>
    </row>
    <row r="24" spans="1:25" x14ac:dyDescent="0.2">
      <c r="A24" t="s">
        <v>38</v>
      </c>
      <c r="D24">
        <v>1.13978422169754</v>
      </c>
      <c r="E24">
        <v>2.90843650153721</v>
      </c>
      <c r="F24">
        <v>10.1687093265241</v>
      </c>
      <c r="G24">
        <v>10.1603808268033</v>
      </c>
      <c r="H24">
        <v>16.2367166294034</v>
      </c>
      <c r="I24">
        <v>10.1420487854613</v>
      </c>
      <c r="J24">
        <v>0.112381894969905</v>
      </c>
      <c r="K24">
        <v>3.0651663460694198</v>
      </c>
      <c r="L24">
        <v>4.15488650982957</v>
      </c>
      <c r="M24">
        <v>1.9430735043696601</v>
      </c>
      <c r="N24">
        <v>5.61686853527205</v>
      </c>
      <c r="O24">
        <v>1.86368536786777E-3</v>
      </c>
      <c r="P24">
        <v>3.6369757608447602</v>
      </c>
      <c r="Q24">
        <v>0.44754417996976997</v>
      </c>
      <c r="V24">
        <f>SUM(B24:U24)</f>
        <v>69.734836708119857</v>
      </c>
    </row>
    <row r="25" spans="1:25" x14ac:dyDescent="0.2">
      <c r="A25" t="s">
        <v>47</v>
      </c>
      <c r="B25">
        <v>13.866662260885001</v>
      </c>
      <c r="C25">
        <v>4.4450409095054297</v>
      </c>
      <c r="D25">
        <v>1.13978422169754</v>
      </c>
      <c r="E25">
        <v>2.9085744262501998</v>
      </c>
      <c r="F25">
        <v>4.7802599328016404</v>
      </c>
      <c r="G25">
        <v>9.1866048725143301</v>
      </c>
      <c r="H25">
        <v>12.526525096863001</v>
      </c>
      <c r="I25">
        <v>6.1224731460750004</v>
      </c>
      <c r="J25">
        <v>0.11413689130179699</v>
      </c>
      <c r="K25">
        <v>1.0574515121333601</v>
      </c>
      <c r="L25">
        <v>0.50479768232857702</v>
      </c>
      <c r="M25">
        <v>0</v>
      </c>
      <c r="N25">
        <v>0.39015168014026003</v>
      </c>
      <c r="O25">
        <v>0</v>
      </c>
      <c r="P25">
        <v>3.1132172878165898</v>
      </c>
      <c r="Q25">
        <v>0.15507639082600899</v>
      </c>
      <c r="R25">
        <v>9.6917271372493393E-3</v>
      </c>
      <c r="S25">
        <v>2.6596570335754501</v>
      </c>
      <c r="T25">
        <v>0.15390875011365501</v>
      </c>
      <c r="V25">
        <f t="shared" ref="V25:V26" si="0">SUM(B25:U25)</f>
        <v>63.134013821965098</v>
      </c>
      <c r="W25">
        <f>B33*$B$20/D33</f>
        <v>15.679333229070203</v>
      </c>
      <c r="X25">
        <f>V25+W25</f>
        <v>78.813347051035294</v>
      </c>
      <c r="Y25">
        <f>X25/V24-1</f>
        <v>0.13018615618065033</v>
      </c>
    </row>
    <row r="26" spans="1:25" x14ac:dyDescent="0.2">
      <c r="A26" t="s">
        <v>40</v>
      </c>
      <c r="B26">
        <v>10.529792373858101</v>
      </c>
      <c r="C26">
        <v>4.5441066395914502</v>
      </c>
      <c r="D26">
        <v>1.13978422169754</v>
      </c>
      <c r="E26">
        <v>2.9065180521930198</v>
      </c>
      <c r="F26">
        <v>1.38934091428273</v>
      </c>
      <c r="G26">
        <v>6.3808491107883398</v>
      </c>
      <c r="H26">
        <v>8.7635311342675095</v>
      </c>
      <c r="I26">
        <v>1.4290508862231801</v>
      </c>
      <c r="J26">
        <v>0.11415402429933801</v>
      </c>
      <c r="K26">
        <v>0.14107349866205199</v>
      </c>
      <c r="L26">
        <v>0.116800782588541</v>
      </c>
      <c r="M26">
        <v>0</v>
      </c>
      <c r="N26">
        <v>4.7653284129873498E-2</v>
      </c>
      <c r="O26">
        <v>0</v>
      </c>
      <c r="P26">
        <v>2.0674418795277298</v>
      </c>
      <c r="Q26">
        <v>1.8374576492258599E-2</v>
      </c>
      <c r="R26">
        <v>0</v>
      </c>
      <c r="S26">
        <v>0</v>
      </c>
      <c r="T26">
        <v>0</v>
      </c>
      <c r="U26">
        <v>15.497589474391701</v>
      </c>
      <c r="V26">
        <f t="shared" si="0"/>
        <v>55.086060852993363</v>
      </c>
      <c r="W26">
        <f>B34*$B$20/D34</f>
        <v>19.496995547649437</v>
      </c>
      <c r="X26">
        <f>V26+W26</f>
        <v>74.583056400642803</v>
      </c>
      <c r="Y26">
        <f>X26/V25-1</f>
        <v>0.18134507669611288</v>
      </c>
    </row>
    <row r="27" spans="1:25" x14ac:dyDescent="0.2">
      <c r="W27">
        <f>(B34+C34)*$B$20/D34</f>
        <v>32.594755570212733</v>
      </c>
      <c r="X27">
        <f>V26+W27</f>
        <v>87.680816423206096</v>
      </c>
    </row>
    <row r="30" spans="1:25" x14ac:dyDescent="0.2">
      <c r="A30" t="s">
        <v>42</v>
      </c>
    </row>
    <row r="31" spans="1:25" x14ac:dyDescent="0.2">
      <c r="A31" t="s">
        <v>17</v>
      </c>
      <c r="B31" t="s">
        <v>18</v>
      </c>
      <c r="C31" t="s">
        <v>44</v>
      </c>
      <c r="D31" t="s">
        <v>43</v>
      </c>
      <c r="S31" t="s">
        <v>51</v>
      </c>
      <c r="T31" t="s">
        <v>53</v>
      </c>
      <c r="U31" t="s">
        <v>54</v>
      </c>
      <c r="V31" t="s">
        <v>52</v>
      </c>
      <c r="W31" t="s">
        <v>52</v>
      </c>
    </row>
    <row r="32" spans="1:25" x14ac:dyDescent="0.2">
      <c r="A32" t="s">
        <v>38</v>
      </c>
      <c r="R32" t="s">
        <v>48</v>
      </c>
      <c r="S32">
        <f>V24</f>
        <v>69.734836708119857</v>
      </c>
      <c r="T32">
        <f>W24</f>
        <v>0</v>
      </c>
      <c r="U32">
        <v>0</v>
      </c>
      <c r="V32">
        <f>S32+T32</f>
        <v>69.734836708119857</v>
      </c>
      <c r="W32">
        <f>V24</f>
        <v>69.734836708119857</v>
      </c>
    </row>
    <row r="33" spans="1:23" x14ac:dyDescent="0.2">
      <c r="A33" t="s">
        <v>39</v>
      </c>
      <c r="B33">
        <v>1938.3271146361201</v>
      </c>
      <c r="D33">
        <f>12848685186.5869/10^6</f>
        <v>12848.685186586901</v>
      </c>
      <c r="R33" t="s">
        <v>49</v>
      </c>
      <c r="S33">
        <f t="shared" ref="S33:T35" si="1">V25</f>
        <v>63.134013821965098</v>
      </c>
      <c r="T33">
        <f t="shared" si="1"/>
        <v>15.679333229070203</v>
      </c>
      <c r="U33">
        <v>0</v>
      </c>
      <c r="V33">
        <f>S33+T33</f>
        <v>78.813347051035294</v>
      </c>
      <c r="W33">
        <f>X25</f>
        <v>78.813347051035294</v>
      </c>
    </row>
    <row r="34" spans="1:23" x14ac:dyDescent="0.2">
      <c r="A34" t="s">
        <v>40</v>
      </c>
      <c r="B34">
        <v>2410.2782032772502</v>
      </c>
      <c r="C34">
        <v>1619.18514147409</v>
      </c>
      <c r="D34">
        <f>12848685186.5869/10^6</f>
        <v>12848.685186586901</v>
      </c>
      <c r="R34" t="s">
        <v>50</v>
      </c>
      <c r="S34">
        <f t="shared" si="1"/>
        <v>55.086060852993363</v>
      </c>
      <c r="T34">
        <f t="shared" si="1"/>
        <v>19.496995547649437</v>
      </c>
      <c r="U34">
        <f>W27-W26</f>
        <v>13.097760022563296</v>
      </c>
      <c r="V34">
        <f>S34+T34</f>
        <v>74.583056400642803</v>
      </c>
      <c r="W34">
        <f>X27</f>
        <v>87.680816423206096</v>
      </c>
    </row>
    <row r="37" spans="1:23" x14ac:dyDescent="0.2">
      <c r="C37" t="s">
        <v>45</v>
      </c>
      <c r="D37" t="s">
        <v>46</v>
      </c>
    </row>
    <row r="38" spans="1:23" x14ac:dyDescent="0.2">
      <c r="B38" t="s">
        <v>38</v>
      </c>
      <c r="C38">
        <f>V24</f>
        <v>69.734836708119857</v>
      </c>
      <c r="D38">
        <f>W24</f>
        <v>0</v>
      </c>
      <c r="U38" s="4"/>
    </row>
    <row r="39" spans="1:23" x14ac:dyDescent="0.2">
      <c r="B39" t="s">
        <v>39</v>
      </c>
      <c r="C39">
        <f>V25</f>
        <v>63.134013821965098</v>
      </c>
      <c r="D39">
        <f>W25</f>
        <v>15.679333229070203</v>
      </c>
    </row>
    <row r="40" spans="1:23" x14ac:dyDescent="0.2">
      <c r="B40" t="s">
        <v>40</v>
      </c>
      <c r="C40">
        <f>V28</f>
        <v>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Haozhe Yang</dc:creator>
  <cp:lastModifiedBy>Haozhe Yang</cp:lastModifiedBy>
  <dcterms:created xsi:type="dcterms:W3CDTF">2025-03-25T18:39:24Z</dcterms:created>
  <dcterms:modified xsi:type="dcterms:W3CDTF">2025-04-07T03:34:25Z</dcterms:modified>
</cp:coreProperties>
</file>