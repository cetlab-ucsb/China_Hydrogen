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hy4174/Documents/Hydrogen/"/>
    </mc:Choice>
  </mc:AlternateContent>
  <xr:revisionPtr revIDLastSave="0" documentId="13_ncr:1_{9818334A-F72E-904D-8BC4-959012819588}" xr6:coauthVersionLast="47" xr6:coauthVersionMax="47" xr10:uidLastSave="{00000000-0000-0000-0000-000000000000}"/>
  <bookViews>
    <workbookView xWindow="2800" yWindow="800" windowWidth="31760" windowHeight="20480" activeTab="4" xr2:uid="{00000000-000D-0000-FFFF-FFFF00000000}"/>
  </bookViews>
  <sheets>
    <sheet name="Figure 2" sheetId="1" r:id="rId1"/>
    <sheet name="Figure 1" sheetId="2" r:id="rId2"/>
    <sheet name="Figure 4" sheetId="4" r:id="rId3"/>
    <sheet name="Figuire 3" sheetId="3" r:id="rId4"/>
    <sheet name="hydrogen storage" sheetId="5" r:id="rId5"/>
    <sheet name="decouple" sheetId="6" r:id="rId6"/>
  </sheets>
  <definedNames>
    <definedName name="_xlnm._FilterDatabase" localSheetId="5" hidden="1">decouple!$A$1:$E$415</definedName>
    <definedName name="_xlnm._FilterDatabase" localSheetId="4" hidden="1">'hydrogen storage'!$AA$1:$AD$334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3" i="5" l="1"/>
  <c r="X65" i="5"/>
  <c r="W65" i="5"/>
  <c r="W64" i="5"/>
  <c r="W63" i="5"/>
  <c r="W62" i="5"/>
  <c r="D417" i="6"/>
  <c r="N18" i="6"/>
  <c r="H400" i="6"/>
  <c r="H395" i="6"/>
  <c r="H340" i="6"/>
  <c r="H335" i="6"/>
  <c r="H304" i="6"/>
  <c r="H299" i="6"/>
  <c r="H289" i="6"/>
  <c r="H284" i="6"/>
  <c r="H264" i="6"/>
  <c r="H259" i="6"/>
  <c r="H226" i="6"/>
  <c r="H221" i="6"/>
  <c r="H212" i="6"/>
  <c r="H207" i="6"/>
  <c r="H197" i="6"/>
  <c r="H192" i="6"/>
  <c r="H184" i="6"/>
  <c r="H179" i="6"/>
  <c r="H170" i="6"/>
  <c r="H165" i="6"/>
  <c r="H144" i="6"/>
  <c r="H139" i="6"/>
  <c r="H93" i="6"/>
  <c r="H88" i="6"/>
  <c r="H78" i="6"/>
  <c r="H73" i="6"/>
  <c r="H52" i="6"/>
  <c r="H47" i="6"/>
  <c r="H39" i="6"/>
  <c r="H34" i="6"/>
  <c r="H14" i="6"/>
  <c r="H9" i="6"/>
  <c r="F400" i="6"/>
  <c r="F395" i="6"/>
  <c r="F340" i="6"/>
  <c r="F335" i="6"/>
  <c r="F304" i="6"/>
  <c r="F299" i="6"/>
  <c r="F289" i="6"/>
  <c r="F284" i="6"/>
  <c r="F264" i="6"/>
  <c r="F259" i="6"/>
  <c r="F226" i="6"/>
  <c r="F221" i="6"/>
  <c r="F212" i="6"/>
  <c r="F207" i="6"/>
  <c r="F197" i="6"/>
  <c r="F192" i="6"/>
  <c r="F184" i="6"/>
  <c r="F179" i="6"/>
  <c r="F170" i="6"/>
  <c r="F165" i="6"/>
  <c r="F144" i="6"/>
  <c r="F139" i="6"/>
  <c r="F93" i="6"/>
  <c r="F88" i="6"/>
  <c r="F78" i="6"/>
  <c r="F73" i="6"/>
  <c r="F52" i="6"/>
  <c r="F47" i="6"/>
  <c r="F39" i="6"/>
  <c r="F34" i="6"/>
  <c r="F14" i="6"/>
  <c r="F9" i="6"/>
  <c r="Y47" i="4"/>
  <c r="Y48" i="4"/>
  <c r="Y49" i="4"/>
  <c r="Y46" i="4"/>
  <c r="C58" i="4"/>
  <c r="C59" i="4"/>
  <c r="C60" i="4"/>
  <c r="C61" i="4"/>
  <c r="C57" i="4"/>
  <c r="X48" i="4"/>
  <c r="X46" i="4"/>
  <c r="W49" i="4"/>
  <c r="W48" i="4"/>
  <c r="W47" i="4"/>
  <c r="W46" i="4"/>
  <c r="W50" i="5"/>
  <c r="W51" i="5"/>
  <c r="W52" i="5"/>
  <c r="W53" i="5"/>
  <c r="W54" i="5"/>
  <c r="W49" i="5"/>
  <c r="R40" i="5"/>
  <c r="R41" i="5"/>
  <c r="R42" i="5"/>
  <c r="R43" i="5"/>
  <c r="R39" i="5"/>
  <c r="X36" i="4"/>
  <c r="Y37" i="4"/>
  <c r="X37" i="4"/>
  <c r="W29" i="4"/>
  <c r="W38" i="4"/>
  <c r="X38" i="4"/>
  <c r="O2" i="5"/>
  <c r="P2" i="5" s="1"/>
  <c r="O3" i="5"/>
  <c r="P3" i="5" s="1"/>
  <c r="O4" i="5"/>
  <c r="P4" i="5" s="1"/>
  <c r="O5" i="5"/>
  <c r="P5" i="5" s="1"/>
  <c r="O6" i="5"/>
  <c r="P6" i="5" s="1"/>
  <c r="O7" i="5"/>
  <c r="P7" i="5" s="1"/>
  <c r="O8" i="5"/>
  <c r="P8" i="5" s="1"/>
  <c r="O9" i="5"/>
  <c r="P9" i="5" s="1"/>
  <c r="O10" i="5"/>
  <c r="P10" i="5" s="1"/>
  <c r="O11" i="5"/>
  <c r="P11" i="5" s="1"/>
  <c r="O12" i="5"/>
  <c r="P12" i="5" s="1"/>
  <c r="O13" i="5"/>
  <c r="P13" i="5" s="1"/>
  <c r="O14" i="5"/>
  <c r="P14" i="5" s="1"/>
  <c r="O15" i="5"/>
  <c r="P15" i="5" s="1"/>
  <c r="O16" i="5"/>
  <c r="P16" i="5" s="1"/>
  <c r="O17" i="5"/>
  <c r="P17" i="5" s="1"/>
  <c r="O18" i="5"/>
  <c r="P18" i="5" s="1"/>
  <c r="O19" i="5"/>
  <c r="P19" i="5" s="1"/>
  <c r="O20" i="5"/>
  <c r="P20" i="5" s="1"/>
  <c r="O21" i="5"/>
  <c r="P21" i="5" s="1"/>
  <c r="O22" i="5"/>
  <c r="P22" i="5" s="1"/>
  <c r="O23" i="5"/>
  <c r="P23" i="5" s="1"/>
  <c r="O24" i="5"/>
  <c r="P24" i="5" s="1"/>
  <c r="O25" i="5"/>
  <c r="P25" i="5" s="1"/>
  <c r="O26" i="5"/>
  <c r="P26" i="5" s="1"/>
  <c r="O27" i="5"/>
  <c r="P27" i="5" s="1"/>
  <c r="O28" i="5"/>
  <c r="P28" i="5" s="1"/>
  <c r="O29" i="5"/>
  <c r="P29" i="5" s="1"/>
  <c r="O30" i="5"/>
  <c r="P30" i="5" s="1"/>
  <c r="O31" i="5"/>
  <c r="P31" i="5" s="1"/>
  <c r="O32" i="5"/>
  <c r="P32" i="5" s="1"/>
  <c r="W37" i="4"/>
  <c r="X39" i="4" s="1"/>
  <c r="W39" i="4"/>
  <c r="W36" i="4"/>
  <c r="X24" i="4"/>
  <c r="W28" i="4"/>
  <c r="W27" i="4"/>
  <c r="W26" i="4"/>
  <c r="W25" i="4"/>
  <c r="W24" i="4"/>
  <c r="W23" i="4"/>
  <c r="W22" i="4"/>
  <c r="W21" i="4"/>
  <c r="W56" i="3"/>
  <c r="W57" i="3"/>
  <c r="W55" i="3"/>
  <c r="V55" i="3"/>
  <c r="V56" i="3"/>
  <c r="V57" i="3"/>
  <c r="V54" i="3"/>
  <c r="L23" i="3"/>
  <c r="L24" i="3"/>
  <c r="O24" i="3"/>
  <c r="U23" i="3"/>
  <c r="K24" i="3"/>
  <c r="H24" i="3"/>
  <c r="H23" i="3"/>
  <c r="U22" i="3"/>
  <c r="K23" i="3"/>
  <c r="G42" i="2"/>
  <c r="F41" i="2"/>
  <c r="S38" i="1"/>
  <c r="R36" i="1"/>
  <c r="R37" i="1"/>
  <c r="R38" i="1"/>
  <c r="R35" i="1"/>
  <c r="X14" i="4"/>
  <c r="W9" i="4"/>
  <c r="W10" i="4"/>
  <c r="W11" i="4"/>
  <c r="W12" i="4"/>
  <c r="W13" i="4"/>
  <c r="W14" i="4"/>
  <c r="W15" i="4"/>
  <c r="W8" i="4"/>
  <c r="W32" i="3"/>
  <c r="V32" i="3"/>
  <c r="O23" i="3"/>
  <c r="I23" i="3"/>
  <c r="X50" i="5" l="1"/>
  <c r="S43" i="5"/>
  <c r="S42" i="5"/>
  <c r="X52" i="5"/>
  <c r="S41" i="5"/>
  <c r="Y54" i="5"/>
  <c r="S40" i="5"/>
  <c r="X54" i="5"/>
  <c r="W2" i="4"/>
  <c r="W3" i="4"/>
  <c r="W4" i="4"/>
  <c r="N27" i="2" l="1"/>
  <c r="I41" i="2"/>
  <c r="H41" i="2"/>
  <c r="G41" i="2"/>
  <c r="G28" i="2"/>
  <c r="G27" i="2"/>
  <c r="H27" i="2"/>
  <c r="I27" i="2"/>
  <c r="F27" i="2"/>
  <c r="Q33" i="2"/>
  <c r="Q34" i="2"/>
  <c r="Q35" i="2"/>
  <c r="Q36" i="2"/>
  <c r="Q37" i="2"/>
  <c r="Q38" i="2"/>
  <c r="Q39" i="2"/>
  <c r="Q32" i="2"/>
  <c r="F26" i="1"/>
  <c r="U34" i="3" l="1"/>
  <c r="U35" i="3"/>
  <c r="V35" i="3" s="1"/>
  <c r="U36" i="3"/>
  <c r="V36" i="3" s="1"/>
  <c r="U33" i="3"/>
  <c r="U32" i="3"/>
  <c r="U31" i="3"/>
  <c r="U30" i="3"/>
  <c r="V34" i="3" s="1"/>
  <c r="I24" i="3"/>
  <c r="F24" i="3"/>
  <c r="F23" i="3"/>
  <c r="Q15" i="3"/>
  <c r="R15" i="3" s="1"/>
  <c r="Q14" i="3"/>
  <c r="T14" i="3" s="1"/>
  <c r="V13" i="3"/>
  <c r="Q13" i="3"/>
  <c r="R13" i="3" s="1"/>
  <c r="Q12" i="3"/>
  <c r="R12" i="3" s="1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U7" i="3"/>
  <c r="U6" i="3"/>
  <c r="U5" i="3"/>
  <c r="U4" i="3"/>
  <c r="V5" i="3" l="1"/>
  <c r="V7" i="3"/>
  <c r="V6" i="3"/>
  <c r="V31" i="3"/>
  <c r="V33" i="3"/>
  <c r="T12" i="3"/>
  <c r="T13" i="3"/>
  <c r="R14" i="3"/>
  <c r="R13" i="2"/>
  <c r="V81" i="1" l="1"/>
  <c r="R4" i="2"/>
  <c r="R5" i="2"/>
  <c r="R6" i="2"/>
  <c r="R7" i="2"/>
  <c r="R8" i="2"/>
  <c r="R9" i="2"/>
  <c r="S13" i="2" s="1"/>
  <c r="R10" i="2"/>
  <c r="S10" i="2" s="1"/>
  <c r="R11" i="2"/>
  <c r="S11" i="2" s="1"/>
  <c r="R12" i="2"/>
  <c r="S12" i="2" s="1"/>
  <c r="R3" i="2"/>
  <c r="S3" i="2" l="1"/>
  <c r="S4" i="2"/>
  <c r="S6" i="2"/>
  <c r="S5" i="2"/>
  <c r="S7" i="2"/>
  <c r="S8" i="2"/>
  <c r="T13" i="2"/>
  <c r="T11" i="2"/>
  <c r="T12" i="2"/>
  <c r="T10" i="2"/>
  <c r="R155" i="1"/>
  <c r="R152" i="1"/>
  <c r="R151" i="1"/>
  <c r="S152" i="1" s="1"/>
  <c r="E17" i="1" l="1"/>
  <c r="H146" i="1" l="1"/>
  <c r="G146" i="1"/>
  <c r="H145" i="1"/>
  <c r="G145" i="1"/>
  <c r="H129" i="1"/>
  <c r="H130" i="1"/>
  <c r="G130" i="1"/>
  <c r="G129" i="1"/>
  <c r="G131" i="1" s="1"/>
  <c r="Q126" i="1"/>
  <c r="R108" i="1"/>
  <c r="R109" i="1"/>
  <c r="R110" i="1"/>
  <c r="R111" i="1"/>
  <c r="R112" i="1"/>
  <c r="R113" i="1"/>
  <c r="R114" i="1"/>
  <c r="R107" i="1"/>
  <c r="S114" i="1" l="1"/>
  <c r="H147" i="1"/>
  <c r="G147" i="1"/>
  <c r="H131" i="1"/>
  <c r="R6" i="1"/>
  <c r="P94" i="1" l="1"/>
  <c r="P95" i="1"/>
  <c r="P96" i="1"/>
  <c r="P97" i="1"/>
  <c r="P98" i="1"/>
  <c r="P99" i="1"/>
  <c r="P93" i="1"/>
  <c r="R93" i="1" s="1"/>
  <c r="V78" i="1" l="1"/>
  <c r="X81" i="1" s="1"/>
  <c r="V79" i="1"/>
  <c r="V80" i="1"/>
  <c r="V77" i="1"/>
  <c r="W81" i="1" s="1"/>
  <c r="R64" i="1"/>
  <c r="R63" i="1"/>
  <c r="W78" i="1" l="1"/>
  <c r="E24" i="1" l="1"/>
  <c r="E25" i="1"/>
  <c r="F15" i="1" s="1"/>
  <c r="E26" i="1"/>
  <c r="E27" i="1"/>
  <c r="E28" i="1"/>
  <c r="E29" i="1"/>
  <c r="E23" i="1"/>
  <c r="E14" i="1"/>
  <c r="E15" i="1"/>
  <c r="E16" i="1"/>
  <c r="E18" i="1"/>
  <c r="E19" i="1"/>
  <c r="E13" i="1"/>
  <c r="R3" i="1"/>
  <c r="R4" i="1"/>
  <c r="R5" i="1"/>
  <c r="R7" i="1"/>
  <c r="R8" i="1"/>
  <c r="R2" i="1"/>
  <c r="F28" i="1" l="1"/>
</calcChain>
</file>

<file path=xl/sharedStrings.xml><?xml version="1.0" encoding="utf-8"?>
<sst xmlns="http://schemas.openxmlformats.org/spreadsheetml/2006/main" count="1630" uniqueCount="156">
  <si>
    <t>scenario</t>
  </si>
  <si>
    <t>Coal</t>
  </si>
  <si>
    <t>Gas</t>
  </si>
  <si>
    <t>Hydro</t>
  </si>
  <si>
    <t>Nuclear</t>
  </si>
  <si>
    <t>Offshore_Wind</t>
  </si>
  <si>
    <t>Wind</t>
  </si>
  <si>
    <t>Solar</t>
  </si>
  <si>
    <t>Battery</t>
  </si>
  <si>
    <t>Pumped_hydro</t>
  </si>
  <si>
    <t>Electrolyzer</t>
  </si>
  <si>
    <t>H2_turbine</t>
  </si>
  <si>
    <t>Fuel_cell</t>
  </si>
  <si>
    <t>Salt_cavern</t>
  </si>
  <si>
    <t>Tank</t>
  </si>
  <si>
    <t>Grid</t>
  </si>
  <si>
    <t>Pipeline</t>
  </si>
  <si>
    <t>Hydrogen_400ppm_1period_36day_safe</t>
  </si>
  <si>
    <t>Hydrogen_400ppm_1period_36day_tank</t>
  </si>
  <si>
    <t>Hydrogen_400ppm_1period_36day_grid</t>
  </si>
  <si>
    <t>Hydrogen_400ppm_1period_36day_noturbine</t>
  </si>
  <si>
    <t>Hydrogen_400ppm_1period_36day_pipeline</t>
  </si>
  <si>
    <t>Hydrogen_400ppm_1period_36day</t>
  </si>
  <si>
    <t>400ppm_1period_36day</t>
  </si>
  <si>
    <t>total_import</t>
  </si>
  <si>
    <t>total_H2_import</t>
  </si>
  <si>
    <t>total load</t>
  </si>
  <si>
    <t>H2_Pipeline</t>
  </si>
  <si>
    <t>CO2_Pipeline</t>
  </si>
  <si>
    <t>DAC</t>
  </si>
  <si>
    <t>CCS_storage</t>
  </si>
  <si>
    <t>Hydrogen_REF_1period_36day</t>
  </si>
  <si>
    <t>Hydrogen_400ppm_1period_36day_ccs_storage</t>
  </si>
  <si>
    <t>CCS</t>
  </si>
  <si>
    <t>unit cost</t>
  </si>
  <si>
    <t>generation</t>
  </si>
  <si>
    <t>capacity</t>
  </si>
  <si>
    <t>SMR</t>
  </si>
  <si>
    <t>Hydrogen_400ppm_1period_36day_H2_expand</t>
  </si>
  <si>
    <t>Hydrogen_400ppm_1period_36day_H2_expand_ccs</t>
  </si>
  <si>
    <t>Hydrogen_400ppm_1period_36day_H2_expand_SMR</t>
  </si>
  <si>
    <t>REF_1period_36day</t>
  </si>
  <si>
    <t>700ppm_1period_36day</t>
  </si>
  <si>
    <t>Hydrogen_700ppm_1period_36day</t>
  </si>
  <si>
    <t>550ppm_1period_36day</t>
  </si>
  <si>
    <t>Hydrogen_550ppm_1period_36day</t>
  </si>
  <si>
    <t>Hydrogen_400ppm_1period_36day_high_ccs_low_rate</t>
  </si>
  <si>
    <t>Hydrogen_400ppm_1period_36day_nuclear_flexible</t>
  </si>
  <si>
    <t>Hydrogen_400ppm_1period_36day_nuclear_flexible_500</t>
  </si>
  <si>
    <t>nan</t>
  </si>
  <si>
    <t>400ppm_1period_36day_ccs_storage_85_high</t>
  </si>
  <si>
    <t>Hydrogen_400ppm_1period_36day_lowcost</t>
  </si>
  <si>
    <t>Hydrogen_400ppm_1period_36day_highcost</t>
  </si>
  <si>
    <t>Hydrogen_400ppm_1period_36day_H2_expand_flat</t>
  </si>
  <si>
    <t>Hydrogen_400ppm_1period_36day_low_efficiency</t>
  </si>
  <si>
    <t>Hydrogen_400ppm_1period_36day_nuclear_flexible_500_highcost</t>
  </si>
  <si>
    <t>Hydrogen_400ppm_1period_36day_ccs_nuclear_flexible_500</t>
  </si>
  <si>
    <t>Hydrogen_400ppm_1period_36day_nuclear_unlimited</t>
  </si>
  <si>
    <t>CCS_storage_offshore</t>
  </si>
  <si>
    <t>CCS_storage_oil</t>
  </si>
  <si>
    <t>CCS_storage_saline</t>
  </si>
  <si>
    <t>storage</t>
  </si>
  <si>
    <t>Gasification</t>
  </si>
  <si>
    <t>Hydrogen_400ppm_1period_36day_H2_expand_SMR_ccs</t>
  </si>
  <si>
    <t>Hydrogen_400ppm_1period_36day_H2_expand_SMR_ccs_conservative_flat</t>
  </si>
  <si>
    <t>Hydrogen_400ppm_1period_36day_H2_expand_SMR_ccs_conservative_decouple_storage</t>
  </si>
  <si>
    <t>Hydrogen_400ppm_1period_36day_H2_expand_SMR_ccs_conservative</t>
  </si>
  <si>
    <t>Hydrogen_400ppm_1period_36day_H2_expand_decouple_storage</t>
  </si>
  <si>
    <t>Hydrogen_NH3</t>
  </si>
  <si>
    <t>BECCS</t>
  </si>
  <si>
    <t>Hydrogen_400ppm_1period_36day_ccs_storage_80</t>
  </si>
  <si>
    <t>Hydrogen_400ppm_1period_36day_ccs_storage_biomass</t>
  </si>
  <si>
    <t>Hydrogen_400ppm_1period_36day_H2_expand_SMR_ccs_80_decouple</t>
  </si>
  <si>
    <t>load_zone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</si>
  <si>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</si>
  <si>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</si>
  <si>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</si>
  <si>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</si>
  <si>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</si>
  <si>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</si>
  <si>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</si>
  <si>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</si>
  <si>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</si>
  <si>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</si>
  <si>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</si>
  <si>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</si>
  <si>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</si>
  <si>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</si>
  <si>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</si>
  <si>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</si>
  <si>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</si>
  <si>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</si>
  <si>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</si>
  <si>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</si>
  <si>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</si>
  <si>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</si>
  <si>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</si>
  <si>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</si>
  <si>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</si>
  <si>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</si>
  <si>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</si>
  <si>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</si>
  <si>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</si>
  <si>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</si>
  <si>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TWh</t>
  </si>
  <si>
    <t>East Inner Mongolia</t>
  </si>
  <si>
    <t>Hydrogen_400ppm_1period_36day_H2_expand_SMR_ccs_80_flat</t>
  </si>
  <si>
    <t>Hydrogen_400ppm_1period_36day_H2_expand_decouple_flat</t>
  </si>
  <si>
    <t>Hydrogen_400ppm_1period_36day_constraint</t>
  </si>
  <si>
    <t>Hydrogen_400ppm_1period_36day_constraint_25</t>
  </si>
  <si>
    <t>Hydrogen_400ppm_1period_36day_H2_expand_flat_constraint_25</t>
  </si>
  <si>
    <t>Hydrogen_400ppm_1period_36day_H2_expand_constraint_25</t>
  </si>
  <si>
    <t>Hydrogen_400ppm_1period_36day_H2_expand_flat_constraint</t>
  </si>
  <si>
    <t>Hydrogen_400ppm_1period_36day_H2_expand_constraint</t>
  </si>
  <si>
    <t>Hydrogen_400ppm_1period_36day_H2_expand_flat_gas</t>
  </si>
  <si>
    <t>Hydrogen_400ppm_1period_36day_gas</t>
  </si>
  <si>
    <t>investment (trillion)</t>
  </si>
  <si>
    <t>technology</t>
  </si>
  <si>
    <t>capacity_mwh</t>
  </si>
  <si>
    <t>capacity_mw</t>
  </si>
  <si>
    <t>Anhui_H2</t>
  </si>
  <si>
    <t>Beijing_H2</t>
  </si>
  <si>
    <t>Chongqing_H2</t>
  </si>
  <si>
    <t>East_Inner_Mongolia</t>
  </si>
  <si>
    <t>East_Inner_Mongolia_H2</t>
  </si>
  <si>
    <t>Fujian_H2</t>
  </si>
  <si>
    <t>Gansu_H2</t>
  </si>
  <si>
    <t>Guangdong_H2</t>
  </si>
  <si>
    <t>Guangxi_H2</t>
  </si>
  <si>
    <t>Guizhou_H2</t>
  </si>
  <si>
    <t>Hainan_H2</t>
  </si>
  <si>
    <t>Hebei_H2</t>
  </si>
  <si>
    <t>Heilongjiang_H2</t>
  </si>
  <si>
    <t>Henan_H2</t>
  </si>
  <si>
    <t>Hubei_H2</t>
  </si>
  <si>
    <t>Hunan_H2</t>
  </si>
  <si>
    <t>Jiangsu_H2</t>
  </si>
  <si>
    <t>Jiangxi_H2</t>
  </si>
  <si>
    <t>Jilin_H2</t>
  </si>
  <si>
    <t>Liaoning_H2</t>
  </si>
  <si>
    <t>Ningxia_H2</t>
  </si>
  <si>
    <t>Qinghai_H2</t>
  </si>
  <si>
    <t>Shaanxi_H2</t>
  </si>
  <si>
    <t>Shandong_H2</t>
  </si>
  <si>
    <t>Shanghai_H2</t>
  </si>
  <si>
    <t>Shanxi_H2</t>
  </si>
  <si>
    <t>Sichuan_H2</t>
  </si>
  <si>
    <t>Tianjin_H2</t>
  </si>
  <si>
    <t>Tibet_H2</t>
  </si>
  <si>
    <t>West_Inner_Mongolia</t>
  </si>
  <si>
    <t>West_Inner_Mongolia_H2</t>
  </si>
  <si>
    <t>Xinjiang_H2</t>
  </si>
  <si>
    <t>Yunnan_H2</t>
  </si>
  <si>
    <t>Zhejiang_H2</t>
  </si>
  <si>
    <t>Hydrogen_400ppm_1period_36day_H2_expand_flat_tank</t>
  </si>
  <si>
    <t>Hydrogen_400ppm_1period_36day_H2_expand_decouple_flat_tank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</si>
</sst>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5"/>
  <sheetViews>
    <sheetView workbookViewId="0">
      <selection activeCell="S39" sqref="S39"/>
    </sheetView>
  </sheetViews>
  <sheetFormatPr baseColWidth="10" defaultColWidth="8.83203125" defaultRowHeight="15" x14ac:dyDescent="0.2"/>
  <cols>
    <col min="1" max="1" width="43.5" customWidth="1"/>
    <col min="6" max="6" width="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2">
      <c r="A2" t="s">
        <v>17</v>
      </c>
      <c r="B2">
        <v>0</v>
      </c>
      <c r="C2">
        <v>0</v>
      </c>
      <c r="D2">
        <v>0</v>
      </c>
      <c r="E2">
        <v>-1.8889269133968799E-4</v>
      </c>
      <c r="F2">
        <v>0.16772058162183501</v>
      </c>
      <c r="G2">
        <v>-6.43821922567834E-3</v>
      </c>
      <c r="H2">
        <v>5.06940880782588E-2</v>
      </c>
      <c r="I2">
        <v>4.7760765151534698E-2</v>
      </c>
      <c r="J2" s="1">
        <v>-9.4385745872876092E-6</v>
      </c>
      <c r="K2">
        <v>1.11395327861653E-2</v>
      </c>
      <c r="L2">
        <v>-1.7880655957584899E-2</v>
      </c>
      <c r="M2">
        <v>4.8512452350991497E-2</v>
      </c>
      <c r="N2">
        <v>2.54322489414598E-2</v>
      </c>
      <c r="O2">
        <v>7.4355699073454601E-2</v>
      </c>
      <c r="P2">
        <v>-5.2154359750888502E-2</v>
      </c>
      <c r="Q2">
        <v>-6.4177992105007601E-3</v>
      </c>
      <c r="R2">
        <f>SUM(B2:Q2)</f>
        <v>0.34252600259312022</v>
      </c>
    </row>
    <row r="3" spans="1:18" x14ac:dyDescent="0.2">
      <c r="A3" t="s">
        <v>18</v>
      </c>
      <c r="B3">
        <v>0</v>
      </c>
      <c r="C3" s="1">
        <v>0</v>
      </c>
      <c r="D3">
        <v>0</v>
      </c>
      <c r="E3" s="1">
        <v>4.46110537150902E-5</v>
      </c>
      <c r="F3">
        <v>3.70004769975284E-3</v>
      </c>
      <c r="G3">
        <v>1.8422708437971998E-2</v>
      </c>
      <c r="H3">
        <v>9.2363390839894297E-2</v>
      </c>
      <c r="I3" s="1">
        <v>0.25813498555400799</v>
      </c>
      <c r="J3" s="1">
        <v>-6.0071817141895199E-5</v>
      </c>
      <c r="K3" s="1">
        <v>-4.3899320017801099E-2</v>
      </c>
      <c r="L3" s="1">
        <v>-4.6280665255609497E-2</v>
      </c>
      <c r="M3">
        <v>-2.7863742084927801E-2</v>
      </c>
      <c r="N3">
        <v>-8.0546091457585997E-2</v>
      </c>
      <c r="O3" s="1">
        <v>-2.9068130128009798E-6</v>
      </c>
      <c r="P3" s="1">
        <v>2.68577469758659E-2</v>
      </c>
      <c r="Q3">
        <v>-6.4177992105007601E-3</v>
      </c>
      <c r="R3">
        <f t="shared" ref="R3:R8" si="0">SUM(B3:Q3)</f>
        <v>0.19445289390462825</v>
      </c>
    </row>
    <row r="4" spans="1:18" x14ac:dyDescent="0.2">
      <c r="A4" t="s">
        <v>19</v>
      </c>
      <c r="B4">
        <v>0</v>
      </c>
      <c r="C4">
        <v>0</v>
      </c>
      <c r="D4">
        <v>0</v>
      </c>
      <c r="E4">
        <v>-1.4970068283508601E-4</v>
      </c>
      <c r="F4">
        <v>1.0303340976109E-2</v>
      </c>
      <c r="G4">
        <v>2.1637098855908098E-2</v>
      </c>
      <c r="H4">
        <v>5.5698384824578402E-2</v>
      </c>
      <c r="I4">
        <v>-2.7972968400287901E-2</v>
      </c>
      <c r="J4" s="1">
        <v>-1.5440751757532399E-5</v>
      </c>
      <c r="K4">
        <v>4.0397005829969801E-2</v>
      </c>
      <c r="L4">
        <v>-7.4537863949648304E-3</v>
      </c>
      <c r="M4">
        <v>5.7156214266304399E-2</v>
      </c>
      <c r="N4">
        <v>1.0272641309072199E-2</v>
      </c>
      <c r="O4" s="1">
        <v>-1.17178336876428E-5</v>
      </c>
      <c r="P4">
        <v>-5.2154359750888502E-2</v>
      </c>
      <c r="Q4">
        <v>8.3449479777057897E-3</v>
      </c>
      <c r="R4">
        <f t="shared" si="0"/>
        <v>0.11605166022522623</v>
      </c>
    </row>
    <row r="5" spans="1:18" x14ac:dyDescent="0.2">
      <c r="A5" t="s">
        <v>20</v>
      </c>
      <c r="B5">
        <v>0</v>
      </c>
      <c r="C5">
        <v>0</v>
      </c>
      <c r="D5">
        <v>0</v>
      </c>
      <c r="E5" s="1">
        <v>-1.9868032663192599E-5</v>
      </c>
      <c r="F5">
        <v>-3.6314057635031101E-2</v>
      </c>
      <c r="G5">
        <v>-8.9372204496593402E-3</v>
      </c>
      <c r="H5">
        <v>9.3011594683825704E-3</v>
      </c>
      <c r="I5">
        <v>0.112343351945037</v>
      </c>
      <c r="J5" s="1">
        <v>-2.4694019794114201E-5</v>
      </c>
      <c r="K5">
        <v>-1.6622477501072298E-2</v>
      </c>
      <c r="L5">
        <v>-5.9581218024789398E-2</v>
      </c>
      <c r="M5">
        <v>9.6150285314306805E-2</v>
      </c>
      <c r="N5">
        <v>-2.05300465383178E-2</v>
      </c>
      <c r="O5" s="1">
        <v>-9.3633911065603306E-6</v>
      </c>
      <c r="P5">
        <v>-2.9938162202846098E-3</v>
      </c>
      <c r="Q5">
        <v>-2.0743547149614698E-3</v>
      </c>
      <c r="R5">
        <f t="shared" si="0"/>
        <v>7.068768020004651E-2</v>
      </c>
    </row>
    <row r="6" spans="1:18" x14ac:dyDescent="0.2">
      <c r="A6" t="s">
        <v>21</v>
      </c>
      <c r="B6">
        <v>0</v>
      </c>
      <c r="C6">
        <v>0</v>
      </c>
      <c r="D6">
        <v>0</v>
      </c>
      <c r="E6" s="1">
        <v>-5.23052568076451E-6</v>
      </c>
      <c r="F6">
        <v>6.3256856838523499E-3</v>
      </c>
      <c r="G6">
        <v>-5.6501097790330797E-3</v>
      </c>
      <c r="H6">
        <v>1.20375193109148E-3</v>
      </c>
      <c r="I6">
        <v>2.47765484882587E-2</v>
      </c>
      <c r="J6" s="1">
        <v>3.5009996562091702E-6</v>
      </c>
      <c r="K6">
        <v>-7.75491277751259E-3</v>
      </c>
      <c r="L6">
        <v>-3.7175367216702301E-3</v>
      </c>
      <c r="M6">
        <v>-6.9479561762858704E-3</v>
      </c>
      <c r="N6">
        <v>-2.1682953189818199E-3</v>
      </c>
      <c r="O6" s="1">
        <v>8.0612472726002103E-8</v>
      </c>
      <c r="P6">
        <v>8.83948443920431E-3</v>
      </c>
      <c r="Q6">
        <v>-6.4177992105007601E-3</v>
      </c>
      <c r="R6">
        <f>SUM(B6:Q6)</f>
        <v>8.4872116448706583E-3</v>
      </c>
    </row>
    <row r="7" spans="1:18" x14ac:dyDescent="0.2">
      <c r="A7" t="s">
        <v>22</v>
      </c>
      <c r="B7">
        <v>0</v>
      </c>
      <c r="C7">
        <v>0</v>
      </c>
      <c r="D7">
        <v>0</v>
      </c>
      <c r="E7" s="1">
        <v>0</v>
      </c>
      <c r="F7">
        <v>0</v>
      </c>
      <c r="G7">
        <v>0</v>
      </c>
      <c r="H7">
        <v>0</v>
      </c>
      <c r="I7">
        <v>0</v>
      </c>
      <c r="J7" s="1">
        <v>0</v>
      </c>
      <c r="K7">
        <v>0</v>
      </c>
      <c r="L7">
        <v>0</v>
      </c>
      <c r="M7">
        <v>0</v>
      </c>
      <c r="N7">
        <v>0</v>
      </c>
      <c r="O7" s="1">
        <v>0</v>
      </c>
      <c r="P7">
        <v>0</v>
      </c>
      <c r="Q7">
        <v>0</v>
      </c>
      <c r="R7">
        <f t="shared" si="0"/>
        <v>0</v>
      </c>
    </row>
    <row r="8" spans="1:18" x14ac:dyDescent="0.2">
      <c r="A8" t="s">
        <v>23</v>
      </c>
      <c r="B8">
        <v>0</v>
      </c>
      <c r="C8">
        <v>0</v>
      </c>
      <c r="D8">
        <v>0</v>
      </c>
      <c r="E8" s="1">
        <v>5.04792883067065E-5</v>
      </c>
      <c r="F8">
        <v>3.7252846202659598E-3</v>
      </c>
      <c r="G8">
        <v>7.1679341781182198E-3</v>
      </c>
      <c r="H8">
        <v>9.9631474785579599E-2</v>
      </c>
      <c r="I8">
        <v>0.26618967689144701</v>
      </c>
      <c r="J8" s="1">
        <v>-6.0162552693961403E-5</v>
      </c>
      <c r="K8">
        <v>-4.3954592722413303E-2</v>
      </c>
      <c r="L8">
        <v>-5.9581218024789398E-2</v>
      </c>
      <c r="M8">
        <v>-2.7863742084927801E-2</v>
      </c>
      <c r="N8">
        <v>-8.0546091457585997E-2</v>
      </c>
      <c r="O8" s="1">
        <v>-2.6725313427897601E-5</v>
      </c>
      <c r="P8">
        <v>4.1356957693899903E-2</v>
      </c>
      <c r="Q8">
        <v>-6.4177992105007601E-3</v>
      </c>
      <c r="R8">
        <f t="shared" si="0"/>
        <v>0.19967147609127825</v>
      </c>
    </row>
    <row r="12" spans="1:18" x14ac:dyDescent="0.2">
      <c r="B12" t="s">
        <v>24</v>
      </c>
      <c r="C12" t="s">
        <v>25</v>
      </c>
      <c r="G12" t="s">
        <v>26</v>
      </c>
      <c r="H12">
        <v>12848685186</v>
      </c>
    </row>
    <row r="13" spans="1:18" x14ac:dyDescent="0.2">
      <c r="A13" t="s">
        <v>17</v>
      </c>
      <c r="B13">
        <v>2062.6472581241401</v>
      </c>
      <c r="C13">
        <v>0</v>
      </c>
      <c r="E13">
        <f t="shared" ref="E13:E19" si="1">B13/$H$12*10^6</f>
        <v>0.16053372218751319</v>
      </c>
    </row>
    <row r="14" spans="1:18" x14ac:dyDescent="0.2">
      <c r="A14" t="s">
        <v>18</v>
      </c>
      <c r="B14">
        <v>6866.6429199305103</v>
      </c>
      <c r="C14" s="1">
        <v>1.4833863155264301E-15</v>
      </c>
      <c r="E14">
        <f t="shared" si="1"/>
        <v>0.53442378115174327</v>
      </c>
    </row>
    <row r="15" spans="1:18" x14ac:dyDescent="0.2">
      <c r="A15" t="s">
        <v>19</v>
      </c>
      <c r="B15">
        <v>1768.2551428813499</v>
      </c>
      <c r="C15">
        <v>5338.4341329770496</v>
      </c>
      <c r="E15">
        <f t="shared" si="1"/>
        <v>0.13762148556710307</v>
      </c>
      <c r="F15">
        <f>C15/E25</f>
        <v>7.558866762192066</v>
      </c>
    </row>
    <row r="16" spans="1:18" x14ac:dyDescent="0.2">
      <c r="A16" t="s">
        <v>20</v>
      </c>
      <c r="B16">
        <v>5672.2452135719204</v>
      </c>
      <c r="C16">
        <v>2014.84724571998</v>
      </c>
      <c r="E16">
        <f t="shared" si="1"/>
        <v>0.44146503174911866</v>
      </c>
    </row>
    <row r="17" spans="1:6" x14ac:dyDescent="0.2">
      <c r="A17" t="s">
        <v>21</v>
      </c>
      <c r="B17">
        <v>7761.08739856375</v>
      </c>
      <c r="C17">
        <v>0</v>
      </c>
      <c r="E17">
        <f>B17/$H$12*10^6</f>
        <v>0.60403747824876852</v>
      </c>
    </row>
    <row r="18" spans="1:6" x14ac:dyDescent="0.2">
      <c r="A18" t="s">
        <v>22</v>
      </c>
      <c r="B18">
        <v>5807.1653798262796</v>
      </c>
      <c r="C18">
        <v>2808.88289567332</v>
      </c>
      <c r="E18">
        <f t="shared" si="1"/>
        <v>0.45196573001522361</v>
      </c>
    </row>
    <row r="19" spans="1:6" x14ac:dyDescent="0.2">
      <c r="A19" t="s">
        <v>23</v>
      </c>
      <c r="B19">
        <v>6752.4605793181499</v>
      </c>
      <c r="C19">
        <v>0</v>
      </c>
      <c r="E19">
        <f t="shared" si="1"/>
        <v>0.52553708660211151</v>
      </c>
    </row>
    <row r="22" spans="1:6" x14ac:dyDescent="0.2">
      <c r="A22" t="s">
        <v>0</v>
      </c>
      <c r="B22" t="s">
        <v>8</v>
      </c>
      <c r="C22" t="s">
        <v>13</v>
      </c>
      <c r="D22" t="s">
        <v>14</v>
      </c>
    </row>
    <row r="23" spans="1:6" x14ac:dyDescent="0.2">
      <c r="A23" t="s">
        <v>17</v>
      </c>
      <c r="B23">
        <v>7.4477684650153</v>
      </c>
      <c r="C23">
        <v>818.879693078277</v>
      </c>
      <c r="D23">
        <v>23.682002062709</v>
      </c>
      <c r="E23">
        <f>SUM(B23:D23)</f>
        <v>850.0094636060013</v>
      </c>
    </row>
    <row r="24" spans="1:6" x14ac:dyDescent="0.2">
      <c r="A24" t="s">
        <v>18</v>
      </c>
      <c r="B24">
        <v>15.129278938194499</v>
      </c>
      <c r="D24" s="1">
        <v>7.5833744410787E-3</v>
      </c>
      <c r="E24">
        <f t="shared" ref="E24:E29" si="2">SUM(B24:D24)</f>
        <v>15.136862312635579</v>
      </c>
    </row>
    <row r="25" spans="1:6" x14ac:dyDescent="0.2">
      <c r="A25" t="s">
        <v>19</v>
      </c>
      <c r="B25">
        <v>4.4996265219467402</v>
      </c>
      <c r="C25">
        <v>701.74354244170399</v>
      </c>
      <c r="D25">
        <v>4.7781067785073999E-3</v>
      </c>
      <c r="E25">
        <f t="shared" si="2"/>
        <v>706.24794707042929</v>
      </c>
    </row>
    <row r="26" spans="1:6" x14ac:dyDescent="0.2">
      <c r="A26" t="s">
        <v>20</v>
      </c>
      <c r="B26">
        <v>7.8787784429808001</v>
      </c>
      <c r="C26">
        <v>463.73551669341703</v>
      </c>
      <c r="D26">
        <v>5.5277181890163399E-3</v>
      </c>
      <c r="E26">
        <f t="shared" si="2"/>
        <v>471.6198228545868</v>
      </c>
      <c r="F26">
        <f>C26/C28-1</f>
        <v>-0.25488569546703121</v>
      </c>
    </row>
    <row r="27" spans="1:6" x14ac:dyDescent="0.2">
      <c r="A27" t="s">
        <v>21</v>
      </c>
      <c r="B27">
        <v>6.5899405782607499</v>
      </c>
      <c r="C27">
        <v>605.61417931686901</v>
      </c>
      <c r="D27">
        <v>8.5345160191275596E-3</v>
      </c>
      <c r="E27">
        <f t="shared" si="2"/>
        <v>612.21265441114895</v>
      </c>
    </row>
    <row r="28" spans="1:6" x14ac:dyDescent="0.2">
      <c r="A28" t="s">
        <v>22</v>
      </c>
      <c r="B28">
        <v>5.64153584568722</v>
      </c>
      <c r="C28">
        <v>622.36829151210895</v>
      </c>
      <c r="D28">
        <v>8.5088504837391495E-3</v>
      </c>
      <c r="E28">
        <f t="shared" si="2"/>
        <v>628.01833620827995</v>
      </c>
      <c r="F28">
        <f>E23/E28-1</f>
        <v>0.35347873557006904</v>
      </c>
    </row>
    <row r="29" spans="1:6" x14ac:dyDescent="0.2">
      <c r="A29" t="s">
        <v>23</v>
      </c>
      <c r="B29">
        <v>15.240865579885201</v>
      </c>
      <c r="E29">
        <f t="shared" si="2"/>
        <v>15.240865579885201</v>
      </c>
    </row>
    <row r="34" spans="1:19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  <c r="Q34" t="s">
        <v>16</v>
      </c>
    </row>
    <row r="35" spans="1:19" x14ac:dyDescent="0.2">
      <c r="A35" t="s">
        <v>23</v>
      </c>
      <c r="D35">
        <v>1.13978422169754</v>
      </c>
      <c r="E35">
        <v>2.9119566664644099</v>
      </c>
      <c r="F35">
        <v>10.4284914412096</v>
      </c>
      <c r="G35">
        <v>10.6602355462489</v>
      </c>
      <c r="H35">
        <v>23.184501254564999</v>
      </c>
      <c r="I35">
        <v>28.704742436873602</v>
      </c>
      <c r="J35">
        <v>0.108186469181849</v>
      </c>
      <c r="P35">
        <v>6.5209964523734998</v>
      </c>
      <c r="R35">
        <f>SUM(B35:Q35)</f>
        <v>83.658894488614393</v>
      </c>
    </row>
    <row r="36" spans="1:19" x14ac:dyDescent="0.2">
      <c r="A36" t="s">
        <v>22</v>
      </c>
      <c r="D36">
        <v>1.13978422169754</v>
      </c>
      <c r="E36">
        <v>2.90843650153721</v>
      </c>
      <c r="F36">
        <v>10.1687093265241</v>
      </c>
      <c r="G36">
        <v>10.1603808268033</v>
      </c>
      <c r="H36">
        <v>16.2367166294034</v>
      </c>
      <c r="I36">
        <v>10.1420487854613</v>
      </c>
      <c r="J36">
        <v>0.112381894969905</v>
      </c>
      <c r="K36">
        <v>3.0651663460694198</v>
      </c>
      <c r="L36">
        <v>4.15488650982957</v>
      </c>
      <c r="M36">
        <v>1.9430735043696601</v>
      </c>
      <c r="N36">
        <v>5.61686853527205</v>
      </c>
      <c r="O36">
        <v>1.86368536786777E-3</v>
      </c>
      <c r="P36">
        <v>3.6369757608447602</v>
      </c>
      <c r="Q36">
        <v>0.44754417996976997</v>
      </c>
      <c r="R36">
        <f t="shared" ref="R36:R38" si="3">SUM(B36:Q36)</f>
        <v>69.734836708119857</v>
      </c>
    </row>
    <row r="37" spans="1:19" x14ac:dyDescent="0.2">
      <c r="A37" t="s">
        <v>18</v>
      </c>
      <c r="B37">
        <v>0</v>
      </c>
      <c r="C37">
        <v>0</v>
      </c>
      <c r="D37">
        <v>1.13978422169754</v>
      </c>
      <c r="E37">
        <v>2.91154744608358</v>
      </c>
      <c r="F37">
        <v>10.4267315486786</v>
      </c>
      <c r="G37">
        <v>11.4450853914466</v>
      </c>
      <c r="H37">
        <v>22.677662607431699</v>
      </c>
      <c r="I37">
        <v>28.143049851722999</v>
      </c>
      <c r="J37">
        <v>0.108192796610756</v>
      </c>
      <c r="K37">
        <v>3.8544330305473702E-3</v>
      </c>
      <c r="L37">
        <v>0.92751187548649605</v>
      </c>
      <c r="M37">
        <v>0</v>
      </c>
      <c r="O37">
        <v>1.6609792370790499E-3</v>
      </c>
      <c r="P37">
        <v>5.5098963605547802</v>
      </c>
      <c r="Q37">
        <v>0</v>
      </c>
      <c r="R37">
        <f t="shared" si="3"/>
        <v>83.294977511980676</v>
      </c>
    </row>
    <row r="38" spans="1:19" x14ac:dyDescent="0.2">
      <c r="A38" t="s">
        <v>68</v>
      </c>
      <c r="D38">
        <v>1.13978422169754</v>
      </c>
      <c r="E38">
        <v>2.90843650153721</v>
      </c>
      <c r="F38">
        <v>10.1687093265241</v>
      </c>
      <c r="G38">
        <v>10.1603808268033</v>
      </c>
      <c r="H38">
        <v>16.2367166294034</v>
      </c>
      <c r="I38">
        <v>10.1420487854613</v>
      </c>
      <c r="J38">
        <v>0.112381894969905</v>
      </c>
      <c r="K38">
        <v>9.1954990382082702</v>
      </c>
      <c r="L38">
        <v>4.15488650982957</v>
      </c>
      <c r="M38">
        <v>1.9430735043696601</v>
      </c>
      <c r="N38">
        <v>0</v>
      </c>
      <c r="O38">
        <v>3.7445790235146998</v>
      </c>
      <c r="P38">
        <v>3.6369757608447602</v>
      </c>
      <c r="Q38">
        <v>0.149181393323256</v>
      </c>
      <c r="R38">
        <f t="shared" si="3"/>
        <v>73.692653416486991</v>
      </c>
      <c r="S38">
        <f>(R38-R36)/R36</f>
        <v>5.6755230171870306E-2</v>
      </c>
    </row>
    <row r="60" spans="1:18" x14ac:dyDescent="0.2">
      <c r="A60" t="s">
        <v>37</v>
      </c>
    </row>
    <row r="61" spans="1:18" x14ac:dyDescent="0.2">
      <c r="A61" t="s">
        <v>35</v>
      </c>
    </row>
    <row r="62" spans="1:18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37</v>
      </c>
      <c r="L62" t="s">
        <v>10</v>
      </c>
      <c r="M62" t="s">
        <v>11</v>
      </c>
      <c r="N62" t="s">
        <v>12</v>
      </c>
      <c r="O62" t="s">
        <v>13</v>
      </c>
      <c r="P62" t="s">
        <v>14</v>
      </c>
      <c r="Q62" t="s">
        <v>29</v>
      </c>
    </row>
    <row r="63" spans="1:18" x14ac:dyDescent="0.2">
      <c r="A63" t="s">
        <v>22</v>
      </c>
      <c r="B63">
        <v>0</v>
      </c>
      <c r="C63">
        <v>0</v>
      </c>
      <c r="D63">
        <v>1428.49205964116</v>
      </c>
      <c r="E63">
        <v>905.71392000000696</v>
      </c>
      <c r="F63">
        <v>2015.16689176461</v>
      </c>
      <c r="G63">
        <v>2469.8464743743102</v>
      </c>
      <c r="H63">
        <v>9183.4225805292699</v>
      </c>
      <c r="I63">
        <v>-466.30788736803203</v>
      </c>
      <c r="J63">
        <v>-40.214467352026098</v>
      </c>
      <c r="L63">
        <v>-3169.4080296372299</v>
      </c>
      <c r="M63">
        <v>601.78167018377496</v>
      </c>
      <c r="N63">
        <v>389.51324987220102</v>
      </c>
      <c r="O63">
        <v>0</v>
      </c>
      <c r="P63">
        <v>0</v>
      </c>
      <c r="R63">
        <f>SUM(B63:Q63)</f>
        <v>13318.006462008045</v>
      </c>
    </row>
    <row r="64" spans="1:18" x14ac:dyDescent="0.2">
      <c r="A64" t="s">
        <v>38</v>
      </c>
      <c r="B64">
        <v>0</v>
      </c>
      <c r="C64">
        <v>0</v>
      </c>
      <c r="D64">
        <v>1441.19089329749</v>
      </c>
      <c r="E64">
        <v>905.713919999974</v>
      </c>
      <c r="F64">
        <v>2114.49314916188</v>
      </c>
      <c r="G64">
        <v>3355.8658907773802</v>
      </c>
      <c r="H64">
        <v>13321.038760048101</v>
      </c>
      <c r="I64">
        <v>-668.12128586052302</v>
      </c>
      <c r="J64">
        <v>-36.570506780448802</v>
      </c>
      <c r="L64">
        <v>-7477.1613877838899</v>
      </c>
      <c r="M64">
        <v>393.62154995275102</v>
      </c>
      <c r="N64">
        <v>0</v>
      </c>
      <c r="O64">
        <v>0</v>
      </c>
      <c r="P64">
        <v>0</v>
      </c>
      <c r="R64">
        <f>SUM(B64:Q64)</f>
        <v>13350.070982812716</v>
      </c>
    </row>
    <row r="65" spans="1:23" x14ac:dyDescent="0.2">
      <c r="A65" t="s">
        <v>39</v>
      </c>
      <c r="B65">
        <v>2733.7574743021</v>
      </c>
      <c r="C65">
        <v>475.484488050952</v>
      </c>
      <c r="D65">
        <v>1442.69112545455</v>
      </c>
      <c r="E65">
        <v>905.71391999999901</v>
      </c>
      <c r="F65">
        <v>1074.1794357748499</v>
      </c>
      <c r="G65">
        <v>2070.0592258215702</v>
      </c>
      <c r="H65">
        <v>11446.9257900835</v>
      </c>
      <c r="I65">
        <v>-149.05826632553399</v>
      </c>
      <c r="J65">
        <v>-55.495634115408102</v>
      </c>
      <c r="L65">
        <v>-6540.0079570375601</v>
      </c>
      <c r="M65">
        <v>136.61598473187701</v>
      </c>
      <c r="N65">
        <v>0</v>
      </c>
      <c r="O65">
        <v>0</v>
      </c>
      <c r="P65">
        <v>0</v>
      </c>
      <c r="Q65">
        <v>-311.70165584630098</v>
      </c>
    </row>
    <row r="66" spans="1:23" x14ac:dyDescent="0.2">
      <c r="A66" t="s">
        <v>40</v>
      </c>
      <c r="B66">
        <v>2734.16838985915</v>
      </c>
      <c r="C66">
        <v>472.83146031686999</v>
      </c>
      <c r="D66">
        <v>1442.4362758949201</v>
      </c>
      <c r="E66">
        <v>905.71391999999298</v>
      </c>
      <c r="F66">
        <v>1039.17790018039</v>
      </c>
      <c r="G66">
        <v>2041.46030145082</v>
      </c>
      <c r="H66">
        <v>11495.312384966301</v>
      </c>
      <c r="I66">
        <v>-148.310634819066</v>
      </c>
      <c r="J66">
        <v>-55.524281737346598</v>
      </c>
      <c r="K66">
        <v>-1.9208799396027301</v>
      </c>
      <c r="L66">
        <v>-6515.0306038153803</v>
      </c>
      <c r="M66">
        <v>135.676870181288</v>
      </c>
      <c r="N66">
        <v>0</v>
      </c>
      <c r="O66">
        <v>0</v>
      </c>
      <c r="P66">
        <v>0</v>
      </c>
      <c r="Q66">
        <v>-311.96966103940503</v>
      </c>
    </row>
    <row r="69" spans="1:23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37</v>
      </c>
      <c r="L69" t="s">
        <v>10</v>
      </c>
      <c r="M69" t="s">
        <v>11</v>
      </c>
      <c r="N69" t="s">
        <v>12</v>
      </c>
      <c r="O69" t="s">
        <v>15</v>
      </c>
      <c r="P69" t="s">
        <v>27</v>
      </c>
    </row>
    <row r="70" spans="1:23" x14ac:dyDescent="0.2">
      <c r="A70" t="s">
        <v>22</v>
      </c>
      <c r="B70">
        <v>0</v>
      </c>
      <c r="C70">
        <v>722.25719610643102</v>
      </c>
      <c r="D70">
        <v>367.10657999999898</v>
      </c>
      <c r="E70">
        <v>120</v>
      </c>
      <c r="F70">
        <v>609.66806395386698</v>
      </c>
      <c r="G70">
        <v>1504.3671206998999</v>
      </c>
      <c r="H70">
        <v>5559.3055494916998</v>
      </c>
      <c r="I70">
        <v>805.61471231241399</v>
      </c>
      <c r="J70">
        <v>60.340429999999998</v>
      </c>
      <c r="L70">
        <v>954.87993863316899</v>
      </c>
      <c r="M70">
        <v>632.35248527658098</v>
      </c>
      <c r="N70">
        <v>132.72851427542</v>
      </c>
      <c r="O70">
        <v>4068.3606798443998</v>
      </c>
      <c r="P70">
        <v>1055.09826939968</v>
      </c>
    </row>
    <row r="71" spans="1:23" x14ac:dyDescent="0.2">
      <c r="A71" t="s">
        <v>38</v>
      </c>
      <c r="B71">
        <v>0</v>
      </c>
      <c r="C71">
        <v>1337.79700294092</v>
      </c>
      <c r="D71">
        <v>367.10657999999898</v>
      </c>
      <c r="E71">
        <v>120</v>
      </c>
      <c r="F71">
        <v>651.73191680853495</v>
      </c>
      <c r="G71">
        <v>2095.27202490223</v>
      </c>
      <c r="H71">
        <v>7991.0031221756399</v>
      </c>
      <c r="I71">
        <v>1109.6689531494401</v>
      </c>
      <c r="J71">
        <v>60.340429999999998</v>
      </c>
      <c r="L71">
        <v>1959.3152897017701</v>
      </c>
      <c r="M71">
        <v>566.00479124443098</v>
      </c>
      <c r="N71">
        <v>0</v>
      </c>
      <c r="O71">
        <v>4108.69778383227</v>
      </c>
      <c r="P71">
        <v>1924.94064278677</v>
      </c>
    </row>
    <row r="72" spans="1:23" x14ac:dyDescent="0.2">
      <c r="A72" t="s">
        <v>39</v>
      </c>
      <c r="B72">
        <v>1100</v>
      </c>
      <c r="C72">
        <v>1464.27329304759</v>
      </c>
      <c r="D72">
        <v>367.10657999999898</v>
      </c>
      <c r="E72">
        <v>120</v>
      </c>
      <c r="F72">
        <v>292.603155530962</v>
      </c>
      <c r="G72">
        <v>1219.8681760443701</v>
      </c>
      <c r="H72">
        <v>6619.4351374077596</v>
      </c>
      <c r="I72">
        <v>232.12612588227799</v>
      </c>
      <c r="J72">
        <v>60.340429999999998</v>
      </c>
      <c r="L72">
        <v>1971.6013521805801</v>
      </c>
      <c r="M72">
        <v>270.10586792232601</v>
      </c>
      <c r="N72">
        <v>0</v>
      </c>
      <c r="O72">
        <v>2937.86967439205</v>
      </c>
      <c r="P72">
        <v>2009.08474147274</v>
      </c>
    </row>
    <row r="73" spans="1:23" x14ac:dyDescent="0.2">
      <c r="A73" t="s">
        <v>40</v>
      </c>
      <c r="B73">
        <v>1100</v>
      </c>
      <c r="C73">
        <v>1462.9854193057899</v>
      </c>
      <c r="D73">
        <v>367.10657999999898</v>
      </c>
      <c r="E73">
        <v>120</v>
      </c>
      <c r="F73">
        <v>291.98638765320698</v>
      </c>
      <c r="G73">
        <v>1218.6884342174001</v>
      </c>
      <c r="H73">
        <v>6607.4125350139802</v>
      </c>
      <c r="I73">
        <v>230.74619158695501</v>
      </c>
      <c r="J73">
        <v>60.340429999999998</v>
      </c>
      <c r="K73">
        <v>3.8198327734976099</v>
      </c>
      <c r="L73">
        <v>1966.73241149458</v>
      </c>
      <c r="M73">
        <v>273.37218872232302</v>
      </c>
      <c r="N73">
        <v>0</v>
      </c>
      <c r="O73">
        <v>2933.0601594730501</v>
      </c>
      <c r="P73">
        <v>2008.49246750312</v>
      </c>
    </row>
    <row r="76" spans="1:23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37</v>
      </c>
      <c r="L76" t="s">
        <v>10</v>
      </c>
      <c r="M76" t="s">
        <v>11</v>
      </c>
      <c r="N76" t="s">
        <v>12</v>
      </c>
      <c r="O76" t="s">
        <v>13</v>
      </c>
      <c r="P76" t="s">
        <v>14</v>
      </c>
      <c r="Q76" t="s">
        <v>15</v>
      </c>
      <c r="R76" t="s">
        <v>27</v>
      </c>
      <c r="S76" t="s">
        <v>28</v>
      </c>
      <c r="T76" t="s">
        <v>29</v>
      </c>
      <c r="U76" t="s">
        <v>30</v>
      </c>
    </row>
    <row r="77" spans="1:23" x14ac:dyDescent="0.2">
      <c r="A77" t="s">
        <v>22</v>
      </c>
      <c r="B77">
        <v>0</v>
      </c>
      <c r="C77">
        <v>2.0648370170408499</v>
      </c>
      <c r="D77">
        <v>1.13978422169754</v>
      </c>
      <c r="E77">
        <v>2.9083467897201101</v>
      </c>
      <c r="F77">
        <v>10.297054491367</v>
      </c>
      <c r="G77">
        <v>10.1755799460616</v>
      </c>
      <c r="H77">
        <v>16.183404897629199</v>
      </c>
      <c r="I77">
        <v>9.97821641919497</v>
      </c>
      <c r="J77">
        <v>0.11236199763522101</v>
      </c>
      <c r="L77">
        <v>3.0923831979504901</v>
      </c>
      <c r="M77">
        <v>2.0273866732148198</v>
      </c>
      <c r="N77">
        <v>1.97851598617628</v>
      </c>
      <c r="O77">
        <v>5.6245197578027204</v>
      </c>
      <c r="P77">
        <v>1.86574865097175E-3</v>
      </c>
      <c r="Q77">
        <v>3.6230057232920698</v>
      </c>
      <c r="R77">
        <v>0.44595266035641201</v>
      </c>
      <c r="V77">
        <f>SUM(B77:U77)</f>
        <v>69.653215527790238</v>
      </c>
    </row>
    <row r="78" spans="1:23" x14ac:dyDescent="0.2">
      <c r="A78" t="s">
        <v>38</v>
      </c>
      <c r="D78">
        <v>0.86198911612227402</v>
      </c>
      <c r="E78">
        <v>2.1992051668614998</v>
      </c>
      <c r="F78">
        <v>8.5457020705418394</v>
      </c>
      <c r="G78">
        <v>10.5641599641448</v>
      </c>
      <c r="H78">
        <v>17.6206280842026</v>
      </c>
      <c r="I78">
        <v>10.297111334234399</v>
      </c>
      <c r="J78">
        <v>8.4422374456557606E-2</v>
      </c>
      <c r="K78">
        <v>4.8199178318581799</v>
      </c>
      <c r="L78">
        <v>2.6807849571522402</v>
      </c>
      <c r="M78">
        <v>0</v>
      </c>
      <c r="P78">
        <v>5.0897007741193097</v>
      </c>
      <c r="Q78">
        <v>4.8592518088940599E-2</v>
      </c>
      <c r="R78">
        <v>3.0393351586549899</v>
      </c>
      <c r="S78">
        <v>0.65438116522122203</v>
      </c>
      <c r="V78">
        <f t="shared" ref="V78:V81" si="4">SUM(B78:U78)</f>
        <v>66.505930515658847</v>
      </c>
      <c r="W78">
        <f>V78/V77-1</f>
        <v>-4.5185064153652532E-2</v>
      </c>
    </row>
    <row r="79" spans="1:23" x14ac:dyDescent="0.2">
      <c r="A79" t="s">
        <v>39</v>
      </c>
      <c r="B79">
        <v>14.046392180608599</v>
      </c>
      <c r="C79">
        <v>6.7531115299241904</v>
      </c>
      <c r="D79">
        <v>0.86198911612227402</v>
      </c>
      <c r="E79">
        <v>2.1996090772686201</v>
      </c>
      <c r="F79">
        <v>3.7374699704226901</v>
      </c>
      <c r="G79">
        <v>6.2401837895999703</v>
      </c>
      <c r="H79">
        <v>14.575668222112601</v>
      </c>
      <c r="I79">
        <v>2.1738297279749101</v>
      </c>
      <c r="J79">
        <v>8.6288437871514703E-2</v>
      </c>
      <c r="L79">
        <v>4.8288396558539697</v>
      </c>
      <c r="M79">
        <v>0.63365757177559301</v>
      </c>
      <c r="N79">
        <v>0</v>
      </c>
      <c r="O79">
        <v>1.09237397178869</v>
      </c>
      <c r="P79">
        <v>2.3275056546875499E-2</v>
      </c>
      <c r="Q79">
        <v>1.72810428215542</v>
      </c>
      <c r="R79">
        <v>0.60855102707202002</v>
      </c>
      <c r="S79">
        <v>1.01333869468925E-2</v>
      </c>
      <c r="T79">
        <v>0.93083387655637795</v>
      </c>
      <c r="U79">
        <v>0.16495449814812899</v>
      </c>
      <c r="V79">
        <f t="shared" si="4"/>
        <v>60.695265378749326</v>
      </c>
    </row>
    <row r="80" spans="1:23" x14ac:dyDescent="0.2">
      <c r="A80" t="s">
        <v>40</v>
      </c>
      <c r="B80">
        <v>14.0422509811181</v>
      </c>
      <c r="C80">
        <v>6.7276421115337497</v>
      </c>
      <c r="D80">
        <v>0.86198911612227402</v>
      </c>
      <c r="E80">
        <v>2.19964383665278</v>
      </c>
      <c r="F80">
        <v>3.7295918892118101</v>
      </c>
      <c r="G80">
        <v>6.2341488704430104</v>
      </c>
      <c r="H80">
        <v>14.5491527384916</v>
      </c>
      <c r="I80">
        <v>2.1620933581660098</v>
      </c>
      <c r="J80">
        <v>8.6290897453318499E-2</v>
      </c>
      <c r="K80">
        <v>7.1576851236849898E-2</v>
      </c>
      <c r="L80">
        <v>4.8169146620713299</v>
      </c>
      <c r="M80">
        <v>0.64086267968267296</v>
      </c>
      <c r="N80">
        <v>0</v>
      </c>
      <c r="O80">
        <v>1.0904699275429499</v>
      </c>
      <c r="P80">
        <v>1.34569114471592E-3</v>
      </c>
      <c r="Q80">
        <v>1.7238932429890299</v>
      </c>
      <c r="R80">
        <v>0.60835057963961203</v>
      </c>
      <c r="S80">
        <v>1.01705649757396E-2</v>
      </c>
      <c r="T80">
        <v>0.93151506090602798</v>
      </c>
      <c r="U80">
        <v>0.16509471025405301</v>
      </c>
      <c r="V80">
        <f t="shared" si="4"/>
        <v>60.652997769635626</v>
      </c>
    </row>
    <row r="81" spans="1:24" x14ac:dyDescent="0.2">
      <c r="A81" t="s">
        <v>53</v>
      </c>
      <c r="D81">
        <v>0.86236678096785102</v>
      </c>
      <c r="E81">
        <v>2.2000225168307601</v>
      </c>
      <c r="F81">
        <v>8.8371429791591005</v>
      </c>
      <c r="G81">
        <v>10.664015604222801</v>
      </c>
      <c r="H81">
        <v>17.512829716089001</v>
      </c>
      <c r="I81">
        <v>9.9819116556036303</v>
      </c>
      <c r="J81">
        <v>8.4441808145851602E-2</v>
      </c>
      <c r="K81">
        <v>4.9047875931067102</v>
      </c>
      <c r="L81">
        <v>2.7420318284545999</v>
      </c>
      <c r="M81">
        <v>0</v>
      </c>
      <c r="P81">
        <v>4.5256896713519001</v>
      </c>
      <c r="Q81">
        <v>2.5878554332550999E-2</v>
      </c>
      <c r="R81">
        <v>3.0323515965397601</v>
      </c>
      <c r="S81">
        <v>0.64529103743287797</v>
      </c>
      <c r="V81">
        <f t="shared" si="4"/>
        <v>66.018761342237397</v>
      </c>
      <c r="W81">
        <f>V81/V77-1</f>
        <v>-5.2179273534080695E-2</v>
      </c>
      <c r="X81">
        <f>V81/V78-1</f>
        <v>-7.3251989656282213E-3</v>
      </c>
    </row>
    <row r="83" spans="1:24" x14ac:dyDescent="0.2">
      <c r="A83" t="s">
        <v>0</v>
      </c>
      <c r="B83" t="s">
        <v>37</v>
      </c>
      <c r="C83" t="s">
        <v>10</v>
      </c>
      <c r="D83" t="s">
        <v>11</v>
      </c>
      <c r="E83" t="s">
        <v>12</v>
      </c>
      <c r="F83" t="s">
        <v>13</v>
      </c>
      <c r="G83" t="s">
        <v>14</v>
      </c>
    </row>
    <row r="84" spans="1:24" x14ac:dyDescent="0.2">
      <c r="A84" t="s">
        <v>22</v>
      </c>
      <c r="C84">
        <v>2218.5856207458701</v>
      </c>
      <c r="D84">
        <v>-1504.45417545943</v>
      </c>
      <c r="E84">
        <v>-649.188749787044</v>
      </c>
      <c r="F84">
        <v>-24.552215508237602</v>
      </c>
      <c r="G84">
        <v>-2.3945760702248302</v>
      </c>
    </row>
    <row r="85" spans="1:24" x14ac:dyDescent="0.2">
      <c r="A85" t="s">
        <v>38</v>
      </c>
      <c r="C85">
        <v>5234.0129714488003</v>
      </c>
      <c r="D85">
        <v>-984.05387488187102</v>
      </c>
      <c r="E85">
        <v>0</v>
      </c>
      <c r="F85">
        <v>-31.053726218657399</v>
      </c>
      <c r="G85">
        <v>-1.6078578969026001</v>
      </c>
    </row>
    <row r="86" spans="1:24" x14ac:dyDescent="0.2">
      <c r="A86" t="s">
        <v>40</v>
      </c>
      <c r="B86">
        <v>14.5555731454556</v>
      </c>
      <c r="C86">
        <v>4560.5214226708504</v>
      </c>
      <c r="D86">
        <v>-339.192175453218</v>
      </c>
      <c r="E86">
        <v>0</v>
      </c>
      <c r="F86">
        <v>-27.3456077433842</v>
      </c>
      <c r="G86">
        <v>-5.4236042815698403E-2</v>
      </c>
    </row>
    <row r="91" spans="1:24" x14ac:dyDescent="0.2">
      <c r="A91" t="s">
        <v>35</v>
      </c>
    </row>
    <row r="92" spans="1:24" x14ac:dyDescent="0.2">
      <c r="A92" t="s">
        <v>0</v>
      </c>
      <c r="B92" t="s">
        <v>8</v>
      </c>
      <c r="C92" t="s">
        <v>1</v>
      </c>
      <c r="D92" t="s">
        <v>10</v>
      </c>
      <c r="E92" t="s">
        <v>12</v>
      </c>
      <c r="F92" t="s">
        <v>2</v>
      </c>
      <c r="G92" t="s">
        <v>11</v>
      </c>
      <c r="H92" t="s">
        <v>3</v>
      </c>
      <c r="I92" t="s">
        <v>4</v>
      </c>
      <c r="J92" t="s">
        <v>5</v>
      </c>
      <c r="K92" t="s">
        <v>9</v>
      </c>
      <c r="L92" t="s">
        <v>13</v>
      </c>
      <c r="M92" t="s">
        <v>7</v>
      </c>
      <c r="N92" t="s">
        <v>14</v>
      </c>
      <c r="O92" t="s">
        <v>6</v>
      </c>
    </row>
    <row r="93" spans="1:24" x14ac:dyDescent="0.2">
      <c r="A93" t="s">
        <v>22</v>
      </c>
      <c r="B93">
        <v>-466.30788736803203</v>
      </c>
      <c r="C93">
        <v>0</v>
      </c>
      <c r="D93">
        <v>-3169.4080296372299</v>
      </c>
      <c r="E93">
        <v>389.51324987220102</v>
      </c>
      <c r="F93">
        <v>0</v>
      </c>
      <c r="G93">
        <v>601.78167018377496</v>
      </c>
      <c r="H93">
        <v>1428.49205964116</v>
      </c>
      <c r="I93">
        <v>905.71392000000696</v>
      </c>
      <c r="J93">
        <v>2015.16689176461</v>
      </c>
      <c r="K93">
        <v>-40.214467352026098</v>
      </c>
      <c r="L93">
        <v>0</v>
      </c>
      <c r="M93">
        <v>9183.4225805292699</v>
      </c>
      <c r="N93">
        <v>0</v>
      </c>
      <c r="O93">
        <v>2469.8464743743102</v>
      </c>
      <c r="P93">
        <f>E93+G93+H93+I93+J93+M93+O93</f>
        <v>16993.936846365334</v>
      </c>
      <c r="Q93">
        <v>7700</v>
      </c>
      <c r="R93">
        <f>Q93/P93</f>
        <v>0.4531027783386683</v>
      </c>
    </row>
    <row r="94" spans="1:24" x14ac:dyDescent="0.2">
      <c r="A94" t="s">
        <v>21</v>
      </c>
      <c r="B94">
        <v>-609.06841696787706</v>
      </c>
      <c r="C94">
        <v>0</v>
      </c>
      <c r="D94">
        <v>-2716.1806957887102</v>
      </c>
      <c r="E94">
        <v>287.049285420464</v>
      </c>
      <c r="F94">
        <v>0</v>
      </c>
      <c r="G94">
        <v>556.93001760221102</v>
      </c>
      <c r="H94">
        <v>1420.93290941896</v>
      </c>
      <c r="I94">
        <v>905.71391999998104</v>
      </c>
      <c r="J94">
        <v>2150.3554960865299</v>
      </c>
      <c r="K94">
        <v>-43.364903233163197</v>
      </c>
      <c r="L94">
        <v>0</v>
      </c>
      <c r="M94">
        <v>9149.6830574750293</v>
      </c>
      <c r="N94">
        <v>0</v>
      </c>
      <c r="O94">
        <v>2335.3299962264</v>
      </c>
      <c r="P94">
        <f t="shared" ref="P94:P99" si="5">E94+G94+H94+I94+J94+M94+O94</f>
        <v>16805.994682229575</v>
      </c>
    </row>
    <row r="95" spans="1:24" x14ac:dyDescent="0.2">
      <c r="A95" t="s">
        <v>20</v>
      </c>
      <c r="B95">
        <v>-470.59564435972999</v>
      </c>
      <c r="C95">
        <v>0</v>
      </c>
      <c r="D95">
        <v>-2636.7946540487701</v>
      </c>
      <c r="E95">
        <v>1073.8518790482301</v>
      </c>
      <c r="F95">
        <v>0</v>
      </c>
      <c r="H95">
        <v>1423.7246916166901</v>
      </c>
      <c r="I95">
        <v>905.71391999997797</v>
      </c>
      <c r="J95">
        <v>1981.39520864684</v>
      </c>
      <c r="K95">
        <v>-21.0334857427871</v>
      </c>
      <c r="L95">
        <v>0</v>
      </c>
      <c r="M95">
        <v>8763.2588642111696</v>
      </c>
      <c r="N95">
        <v>0</v>
      </c>
      <c r="O95">
        <v>2271.5807618471599</v>
      </c>
      <c r="P95">
        <f t="shared" si="5"/>
        <v>16419.525325370068</v>
      </c>
    </row>
    <row r="96" spans="1:24" x14ac:dyDescent="0.2">
      <c r="A96" t="s">
        <v>18</v>
      </c>
      <c r="B96">
        <v>-719.01773753386794</v>
      </c>
      <c r="C96">
        <v>0</v>
      </c>
      <c r="D96">
        <v>-3.6012143855719798</v>
      </c>
      <c r="E96" s="1">
        <v>8.7003577793422304E-17</v>
      </c>
      <c r="F96">
        <v>0</v>
      </c>
      <c r="G96">
        <v>1.76329340066003E-2</v>
      </c>
      <c r="H96">
        <v>1346.8837854677099</v>
      </c>
      <c r="I96">
        <v>905.71391999994398</v>
      </c>
      <c r="J96">
        <v>1514.3296695945401</v>
      </c>
      <c r="K96">
        <v>-3.4994288656669998</v>
      </c>
      <c r="M96">
        <v>8492.8361537763503</v>
      </c>
      <c r="N96">
        <v>0</v>
      </c>
      <c r="O96">
        <v>1953.2631845716</v>
      </c>
      <c r="P96">
        <f t="shared" si="5"/>
        <v>14213.044346344152</v>
      </c>
    </row>
    <row r="97" spans="1:18" x14ac:dyDescent="0.2">
      <c r="A97" t="s">
        <v>19</v>
      </c>
      <c r="B97">
        <v>-331.96245602416002</v>
      </c>
      <c r="C97">
        <v>0</v>
      </c>
      <c r="D97">
        <v>-5987.6238097456599</v>
      </c>
      <c r="E97">
        <v>1690.74805736793</v>
      </c>
      <c r="F97">
        <v>0</v>
      </c>
      <c r="G97">
        <v>500.93505732181899</v>
      </c>
      <c r="H97">
        <v>1420.6465479389301</v>
      </c>
      <c r="I97">
        <v>905.71392000001595</v>
      </c>
      <c r="J97">
        <v>1986.2939358590099</v>
      </c>
      <c r="K97">
        <v>-30.990647120366599</v>
      </c>
      <c r="L97">
        <v>0</v>
      </c>
      <c r="M97">
        <v>10158.1349334105</v>
      </c>
      <c r="N97">
        <v>0</v>
      </c>
      <c r="O97">
        <v>2693.3253532653898</v>
      </c>
      <c r="P97">
        <f t="shared" si="5"/>
        <v>19355.797805163595</v>
      </c>
    </row>
    <row r="98" spans="1:18" x14ac:dyDescent="0.2">
      <c r="A98" t="s">
        <v>17</v>
      </c>
      <c r="B98">
        <v>-588.02846465126402</v>
      </c>
      <c r="C98">
        <v>0</v>
      </c>
      <c r="D98">
        <v>-3172.29699525566</v>
      </c>
      <c r="E98">
        <v>862.802371520527</v>
      </c>
      <c r="F98">
        <v>0</v>
      </c>
      <c r="G98">
        <v>294.74178058981403</v>
      </c>
      <c r="H98">
        <v>1372.6157107993299</v>
      </c>
      <c r="I98">
        <v>905.71392000002902</v>
      </c>
      <c r="J98">
        <v>3450.1064948469302</v>
      </c>
      <c r="K98">
        <v>-34.617227474007898</v>
      </c>
      <c r="L98">
        <v>0</v>
      </c>
      <c r="M98">
        <v>8118.1303624021602</v>
      </c>
      <c r="N98">
        <v>0</v>
      </c>
      <c r="O98">
        <v>1859.80319260072</v>
      </c>
      <c r="P98">
        <f t="shared" si="5"/>
        <v>16863.91383275951</v>
      </c>
    </row>
    <row r="99" spans="1:18" x14ac:dyDescent="0.2">
      <c r="A99" t="s">
        <v>23</v>
      </c>
      <c r="B99">
        <v>-719.08979656460997</v>
      </c>
      <c r="C99">
        <v>0</v>
      </c>
      <c r="F99">
        <v>0</v>
      </c>
      <c r="H99">
        <v>1345.2090852040401</v>
      </c>
      <c r="I99">
        <v>905.713920000043</v>
      </c>
      <c r="J99">
        <v>1430.61869471927</v>
      </c>
      <c r="K99">
        <v>-3.4543219397068201</v>
      </c>
      <c r="M99">
        <v>8544.5663591679495</v>
      </c>
      <c r="O99">
        <v>1969.58258699978</v>
      </c>
      <c r="P99">
        <f t="shared" si="5"/>
        <v>14195.690646091083</v>
      </c>
    </row>
    <row r="105" spans="1:18" x14ac:dyDescent="0.2">
      <c r="A105" t="s">
        <v>34</v>
      </c>
    </row>
    <row r="106" spans="1:18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  <c r="Q106" t="s">
        <v>16</v>
      </c>
    </row>
    <row r="107" spans="1:18" x14ac:dyDescent="0.2">
      <c r="A107" t="s">
        <v>41</v>
      </c>
      <c r="B107">
        <v>13.1071617536687</v>
      </c>
      <c r="C107">
        <v>12.0569357060606</v>
      </c>
      <c r="D107">
        <v>1.13978422169754</v>
      </c>
      <c r="E107">
        <v>2.90840855552293</v>
      </c>
      <c r="F107">
        <v>2.1480384682024298</v>
      </c>
      <c r="G107">
        <v>5.5028067891854304</v>
      </c>
      <c r="H107">
        <v>7.8159332032251001</v>
      </c>
      <c r="I107">
        <v>1.21915082714388</v>
      </c>
      <c r="J107">
        <v>0.11409514633288</v>
      </c>
      <c r="P107">
        <v>2.28652738359862</v>
      </c>
      <c r="R107">
        <f>SUM(B107:Q107)</f>
        <v>48.298842054638101</v>
      </c>
    </row>
    <row r="108" spans="1:18" x14ac:dyDescent="0.2">
      <c r="A108" t="s">
        <v>31</v>
      </c>
      <c r="B108">
        <v>13.100094546637299</v>
      </c>
      <c r="C108">
        <v>11.851004477485199</v>
      </c>
      <c r="D108">
        <v>1.13978422169754</v>
      </c>
      <c r="E108">
        <v>2.9084575632318002</v>
      </c>
      <c r="F108">
        <v>2.15499127482604</v>
      </c>
      <c r="G108">
        <v>5.5094399079490204</v>
      </c>
      <c r="H108">
        <v>7.89477751804609</v>
      </c>
      <c r="I108">
        <v>1.1717675917305601</v>
      </c>
      <c r="J108">
        <v>0.114092339431226</v>
      </c>
      <c r="K108">
        <v>9.3006597532980906E-2</v>
      </c>
      <c r="L108">
        <v>5.60986772366368E-2</v>
      </c>
      <c r="M108">
        <v>0</v>
      </c>
      <c r="N108">
        <v>2.4959255920612201E-2</v>
      </c>
      <c r="O108">
        <v>0</v>
      </c>
      <c r="P108">
        <v>2.2632375960543101</v>
      </c>
      <c r="Q108">
        <v>1.1661039892286101E-2</v>
      </c>
      <c r="R108">
        <f t="shared" ref="R108:R114" si="6">SUM(B108:Q108)</f>
        <v>48.2933726076716</v>
      </c>
    </row>
    <row r="109" spans="1:18" x14ac:dyDescent="0.2">
      <c r="A109" t="s">
        <v>42</v>
      </c>
      <c r="B109">
        <v>4.5710522515251997</v>
      </c>
      <c r="C109">
        <v>6.3041318481828501</v>
      </c>
      <c r="D109">
        <v>1.13978422169754</v>
      </c>
      <c r="E109">
        <v>2.9081377302548401</v>
      </c>
      <c r="F109">
        <v>4.6034195150704997</v>
      </c>
      <c r="G109">
        <v>9.3744439924196499</v>
      </c>
      <c r="H109">
        <v>14.5462733903551</v>
      </c>
      <c r="I109">
        <v>12.0236260404882</v>
      </c>
      <c r="J109">
        <v>0.111658249817967</v>
      </c>
      <c r="P109">
        <v>3.8999431873332</v>
      </c>
      <c r="R109">
        <f t="shared" si="6"/>
        <v>59.482470427145039</v>
      </c>
    </row>
    <row r="110" spans="1:18" x14ac:dyDescent="0.2">
      <c r="A110" t="s">
        <v>43</v>
      </c>
      <c r="B110">
        <v>5.4251854477115202</v>
      </c>
      <c r="C110">
        <v>3.0528762016238802</v>
      </c>
      <c r="D110">
        <v>1.13978422169754</v>
      </c>
      <c r="E110">
        <v>2.9083970486103001</v>
      </c>
      <c r="F110">
        <v>5.5842071807535101</v>
      </c>
      <c r="G110">
        <v>8.64787971930118</v>
      </c>
      <c r="H110">
        <v>14.578601938244301</v>
      </c>
      <c r="I110">
        <v>8.5786996930284101</v>
      </c>
      <c r="J110">
        <v>0.11369361408675301</v>
      </c>
      <c r="K110">
        <v>1.94685175586671</v>
      </c>
      <c r="L110">
        <v>1.0362172230525299</v>
      </c>
      <c r="M110">
        <v>0.27345713268321198</v>
      </c>
      <c r="N110">
        <v>0.68625261855838304</v>
      </c>
      <c r="O110">
        <v>0</v>
      </c>
      <c r="P110">
        <v>3.5704948106412799</v>
      </c>
      <c r="Q110">
        <v>0.30536739836816901</v>
      </c>
      <c r="R110">
        <f t="shared" si="6"/>
        <v>57.847966004227686</v>
      </c>
    </row>
    <row r="111" spans="1:18" x14ac:dyDescent="0.2">
      <c r="A111" t="s">
        <v>44</v>
      </c>
      <c r="B111">
        <v>0.48835323072147702</v>
      </c>
      <c r="C111">
        <v>11.8860262765828</v>
      </c>
      <c r="D111">
        <v>1.13978422169754</v>
      </c>
      <c r="E111">
        <v>2.9083698145532102</v>
      </c>
      <c r="F111">
        <v>5.7519025555946603</v>
      </c>
      <c r="G111">
        <v>9.1882576597625008</v>
      </c>
      <c r="H111">
        <v>15.1454777871401</v>
      </c>
      <c r="I111">
        <v>13.733568925313</v>
      </c>
      <c r="J111">
        <v>0.11099890588323801</v>
      </c>
      <c r="P111">
        <v>3.6525597788105402</v>
      </c>
      <c r="R111">
        <f t="shared" si="6"/>
        <v>64.005299156059067</v>
      </c>
    </row>
    <row r="112" spans="1:18" x14ac:dyDescent="0.2">
      <c r="A112" t="s">
        <v>45</v>
      </c>
      <c r="B112">
        <v>2.6611291705482798</v>
      </c>
      <c r="C112">
        <v>4.9420902609898301</v>
      </c>
      <c r="D112">
        <v>1.13978422169754</v>
      </c>
      <c r="E112">
        <v>2.9083934084996299</v>
      </c>
      <c r="F112">
        <v>6.6259381988249197</v>
      </c>
      <c r="G112">
        <v>8.6900898641402708</v>
      </c>
      <c r="H112">
        <v>15.7072817906982</v>
      </c>
      <c r="I112">
        <v>9.5800156645253001</v>
      </c>
      <c r="J112">
        <v>0.113616928573072</v>
      </c>
      <c r="K112">
        <v>2.3190073518530601</v>
      </c>
      <c r="L112">
        <v>1.5431670315903401</v>
      </c>
      <c r="M112">
        <v>0</v>
      </c>
      <c r="N112">
        <v>1.37293154812163</v>
      </c>
      <c r="O112">
        <v>0</v>
      </c>
      <c r="P112">
        <v>3.5137475804848299</v>
      </c>
      <c r="Q112">
        <v>0.32230590179833402</v>
      </c>
      <c r="R112">
        <f t="shared" si="6"/>
        <v>61.439498922345244</v>
      </c>
    </row>
    <row r="113" spans="1:19" x14ac:dyDescent="0.2">
      <c r="A113" t="s">
        <v>23</v>
      </c>
      <c r="D113">
        <v>1.13978422169754</v>
      </c>
      <c r="E113">
        <v>2.9119566664644698</v>
      </c>
      <c r="F113">
        <v>10.4284914412096</v>
      </c>
      <c r="G113">
        <v>10.6602355462489</v>
      </c>
      <c r="H113">
        <v>23.184501254564999</v>
      </c>
      <c r="I113">
        <v>28.704742436873602</v>
      </c>
      <c r="J113">
        <v>0.108186469181849</v>
      </c>
      <c r="P113">
        <v>6.5209964523734998</v>
      </c>
      <c r="R113">
        <f t="shared" si="6"/>
        <v>83.65889448861445</v>
      </c>
    </row>
    <row r="114" spans="1:19" x14ac:dyDescent="0.2">
      <c r="A114" t="s">
        <v>22</v>
      </c>
      <c r="B114">
        <v>0</v>
      </c>
      <c r="C114">
        <v>0</v>
      </c>
      <c r="D114">
        <v>1.13978422169754</v>
      </c>
      <c r="E114">
        <v>2.9084365015372602</v>
      </c>
      <c r="F114">
        <v>10.1687093265241</v>
      </c>
      <c r="G114">
        <v>10.1603808268033</v>
      </c>
      <c r="H114">
        <v>16.2367166294034</v>
      </c>
      <c r="I114">
        <v>10.1420487854613</v>
      </c>
      <c r="J114">
        <v>0.112381894969906</v>
      </c>
      <c r="K114">
        <v>3.0651663460694198</v>
      </c>
      <c r="L114">
        <v>4.1548865098295904</v>
      </c>
      <c r="M114">
        <v>1.9430735043696099</v>
      </c>
      <c r="N114">
        <v>5.6168685352720598</v>
      </c>
      <c r="O114" s="1">
        <v>1.86368536786776E-3</v>
      </c>
      <c r="P114">
        <v>3.6369757608447602</v>
      </c>
      <c r="Q114">
        <v>0.44754417996977303</v>
      </c>
      <c r="R114">
        <f t="shared" si="6"/>
        <v>69.734836708119872</v>
      </c>
      <c r="S114">
        <f>R114/R107-1</f>
        <v>0.44382005326819818</v>
      </c>
    </row>
    <row r="118" spans="1:19" x14ac:dyDescent="0.2">
      <c r="A118" t="s">
        <v>36</v>
      </c>
    </row>
    <row r="119" spans="1:19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15</v>
      </c>
      <c r="O119" t="s">
        <v>16</v>
      </c>
    </row>
    <row r="120" spans="1:19" x14ac:dyDescent="0.2">
      <c r="A120" t="s">
        <v>41</v>
      </c>
      <c r="B120">
        <v>1100</v>
      </c>
      <c r="C120">
        <v>1482.8473745044801</v>
      </c>
      <c r="D120">
        <v>367.10657999999898</v>
      </c>
      <c r="E120">
        <v>120</v>
      </c>
      <c r="F120">
        <v>127.181074481576</v>
      </c>
      <c r="G120">
        <v>813.54002907900997</v>
      </c>
      <c r="H120">
        <v>2689.0803543183401</v>
      </c>
      <c r="I120">
        <v>98.525505537498105</v>
      </c>
      <c r="J120">
        <v>60.340429999999998</v>
      </c>
      <c r="N120">
        <v>2949.43091349929</v>
      </c>
    </row>
    <row r="121" spans="1:19" x14ac:dyDescent="0.2">
      <c r="A121" t="s">
        <v>31</v>
      </c>
      <c r="B121">
        <v>1100</v>
      </c>
      <c r="C121">
        <v>1468.16252412873</v>
      </c>
      <c r="D121">
        <v>367.10657999999898</v>
      </c>
      <c r="E121">
        <v>120</v>
      </c>
      <c r="F121">
        <v>127.59273629776</v>
      </c>
      <c r="G121">
        <v>814.520675472486</v>
      </c>
      <c r="H121">
        <v>2716.4035459071802</v>
      </c>
      <c r="I121">
        <v>94.423047195024097</v>
      </c>
      <c r="J121">
        <v>60.340429999999998</v>
      </c>
      <c r="K121">
        <v>28.718993882657401</v>
      </c>
      <c r="L121">
        <v>17.2803686342939</v>
      </c>
      <c r="M121">
        <v>0</v>
      </c>
      <c r="N121">
        <v>2937.4502399704102</v>
      </c>
      <c r="O121">
        <v>22.615217192563499</v>
      </c>
    </row>
    <row r="122" spans="1:19" x14ac:dyDescent="0.2">
      <c r="A122" t="s">
        <v>42</v>
      </c>
      <c r="B122">
        <v>661.67670448875003</v>
      </c>
      <c r="C122">
        <v>757.43139595748903</v>
      </c>
      <c r="D122">
        <v>367.10657999999898</v>
      </c>
      <c r="E122">
        <v>120</v>
      </c>
      <c r="F122">
        <v>272.55929020026701</v>
      </c>
      <c r="G122">
        <v>1385.92644269844</v>
      </c>
      <c r="H122">
        <v>4997.3456343570097</v>
      </c>
      <c r="I122">
        <v>947.33827896225296</v>
      </c>
      <c r="J122">
        <v>60.340429999999998</v>
      </c>
      <c r="N122">
        <v>4688.7766671275804</v>
      </c>
    </row>
    <row r="123" spans="1:19" x14ac:dyDescent="0.2">
      <c r="A123" t="s">
        <v>43</v>
      </c>
      <c r="B123">
        <v>776.49239046681703</v>
      </c>
      <c r="C123">
        <v>551.492882118578</v>
      </c>
      <c r="D123">
        <v>367.10657999999898</v>
      </c>
      <c r="E123">
        <v>120</v>
      </c>
      <c r="F123">
        <v>330.629772180148</v>
      </c>
      <c r="G123">
        <v>1278.51051069766</v>
      </c>
      <c r="H123">
        <v>5008.4313637012301</v>
      </c>
      <c r="I123">
        <v>678.88696097370496</v>
      </c>
      <c r="J123">
        <v>60.340429999999998</v>
      </c>
      <c r="K123">
        <v>601.15760763477294</v>
      </c>
      <c r="L123">
        <v>309.75440681638202</v>
      </c>
      <c r="M123">
        <v>18.3448398661689</v>
      </c>
      <c r="N123">
        <v>4331.6695803286902</v>
      </c>
      <c r="O123">
        <v>835.08696823485502</v>
      </c>
    </row>
    <row r="124" spans="1:19" x14ac:dyDescent="0.2">
      <c r="A124" t="s">
        <v>44</v>
      </c>
      <c r="B124">
        <v>90.9300495928739</v>
      </c>
      <c r="C124">
        <v>1456.27423574615</v>
      </c>
      <c r="D124">
        <v>367.10657999999898</v>
      </c>
      <c r="E124">
        <v>119.99999999999901</v>
      </c>
      <c r="F124">
        <v>340.55868093741799</v>
      </c>
      <c r="G124">
        <v>1358.40048362212</v>
      </c>
      <c r="H124">
        <v>5203.1137149206797</v>
      </c>
      <c r="I124">
        <v>1055.7709612364999</v>
      </c>
      <c r="J124">
        <v>60.340429999999998</v>
      </c>
      <c r="N124">
        <v>4294.1065954613596</v>
      </c>
    </row>
    <row r="125" spans="1:19" x14ac:dyDescent="0.2">
      <c r="A125" t="s">
        <v>45</v>
      </c>
      <c r="B125">
        <v>465.04071276827602</v>
      </c>
      <c r="C125">
        <v>647.70544985369895</v>
      </c>
      <c r="D125">
        <v>367.10657999999898</v>
      </c>
      <c r="E125">
        <v>120</v>
      </c>
      <c r="F125">
        <v>392.30858853299497</v>
      </c>
      <c r="G125">
        <v>1284.75089742672</v>
      </c>
      <c r="H125">
        <v>5395.5547827411001</v>
      </c>
      <c r="I125">
        <v>758.52611559009199</v>
      </c>
      <c r="J125">
        <v>60.340429999999998</v>
      </c>
      <c r="K125">
        <v>716.07347992801101</v>
      </c>
      <c r="L125">
        <v>465.001418866748</v>
      </c>
      <c r="M125">
        <v>0</v>
      </c>
      <c r="N125">
        <v>4238.79687088634</v>
      </c>
      <c r="O125">
        <v>865.23361046854905</v>
      </c>
    </row>
    <row r="126" spans="1:19" x14ac:dyDescent="0.2">
      <c r="A126" t="s">
        <v>23</v>
      </c>
      <c r="D126">
        <v>367.10657999999898</v>
      </c>
      <c r="E126">
        <v>120</v>
      </c>
      <c r="F126">
        <v>617.45018366680904</v>
      </c>
      <c r="G126">
        <v>1576.0190514645001</v>
      </c>
      <c r="H126">
        <v>7958.7847577462098</v>
      </c>
      <c r="I126">
        <v>2468.9409261184501</v>
      </c>
      <c r="J126">
        <v>60.340429999999998</v>
      </c>
      <c r="N126">
        <v>7045.3615816689398</v>
      </c>
      <c r="Q126">
        <f>SUM(D126:N126)</f>
        <v>20214.003510664908</v>
      </c>
    </row>
    <row r="127" spans="1:19" x14ac:dyDescent="0.2">
      <c r="A127" t="s">
        <v>22</v>
      </c>
      <c r="B127">
        <v>0</v>
      </c>
      <c r="C127">
        <v>0</v>
      </c>
      <c r="D127">
        <v>367.10657999999898</v>
      </c>
      <c r="E127">
        <v>119.99999999999901</v>
      </c>
      <c r="F127">
        <v>602.06900266568402</v>
      </c>
      <c r="G127">
        <v>1502.1200688957799</v>
      </c>
      <c r="H127">
        <v>5577.5865880136098</v>
      </c>
      <c r="I127">
        <v>819.70962430466898</v>
      </c>
      <c r="J127">
        <v>60.340429999999998</v>
      </c>
      <c r="K127">
        <v>946.47579716997302</v>
      </c>
      <c r="L127">
        <v>1345.5525380491199</v>
      </c>
      <c r="M127">
        <v>130.35085951533699</v>
      </c>
      <c r="N127">
        <v>4085.1793827619499</v>
      </c>
      <c r="O127">
        <v>1051.84425093407</v>
      </c>
    </row>
    <row r="129" spans="1:15" x14ac:dyDescent="0.2">
      <c r="G129">
        <f>G126+F126</f>
        <v>2193.4692351313092</v>
      </c>
      <c r="H129">
        <f>H126+G126</f>
        <v>9534.803809210709</v>
      </c>
    </row>
    <row r="130" spans="1:15" x14ac:dyDescent="0.2">
      <c r="G130">
        <f>G127+F127</f>
        <v>2104.1890715614641</v>
      </c>
      <c r="H130">
        <f>H127+G127</f>
        <v>7079.7066569093895</v>
      </c>
    </row>
    <row r="131" spans="1:15" x14ac:dyDescent="0.2">
      <c r="G131">
        <f>G130/G129-1</f>
        <v>-4.0702719755493E-2</v>
      </c>
      <c r="H131">
        <f>H130/H129-1</f>
        <v>-0.25748795690265514</v>
      </c>
    </row>
    <row r="134" spans="1:15" x14ac:dyDescent="0.2">
      <c r="A134" t="s">
        <v>35</v>
      </c>
    </row>
    <row r="135" spans="1:15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14</v>
      </c>
    </row>
    <row r="136" spans="1:15" x14ac:dyDescent="0.2">
      <c r="A136" t="s">
        <v>41</v>
      </c>
      <c r="B136">
        <v>3716.48449128432</v>
      </c>
      <c r="C136">
        <v>945.50215039740306</v>
      </c>
      <c r="D136">
        <v>1426.77908962621</v>
      </c>
      <c r="E136">
        <v>905.713920000033</v>
      </c>
      <c r="F136">
        <v>438.14494536177699</v>
      </c>
      <c r="G136">
        <v>1366.4864355510499</v>
      </c>
      <c r="H136">
        <v>4544.7973319862704</v>
      </c>
      <c r="I136">
        <v>-65.825865863158498</v>
      </c>
      <c r="J136">
        <v>-55.481065425642598</v>
      </c>
    </row>
    <row r="137" spans="1:15" x14ac:dyDescent="0.2">
      <c r="A137" t="s">
        <v>31</v>
      </c>
      <c r="B137">
        <v>3710.4446104193498</v>
      </c>
      <c r="C137">
        <v>926.74285733269596</v>
      </c>
      <c r="D137">
        <v>1461.17832332685</v>
      </c>
      <c r="E137">
        <v>905.71391999994398</v>
      </c>
      <c r="F137">
        <v>447.99009673850099</v>
      </c>
      <c r="G137">
        <v>1389.19678082472</v>
      </c>
      <c r="H137">
        <v>4552.8883201469298</v>
      </c>
      <c r="I137">
        <v>-63.450495064769903</v>
      </c>
      <c r="J137">
        <v>-55.456340576904601</v>
      </c>
      <c r="K137">
        <v>-71.474071669977207</v>
      </c>
      <c r="L137">
        <v>19.426065222338501</v>
      </c>
      <c r="M137" s="1">
        <v>7.3216544468600097E-16</v>
      </c>
      <c r="N137">
        <v>0</v>
      </c>
      <c r="O137">
        <v>0</v>
      </c>
    </row>
    <row r="138" spans="1:15" x14ac:dyDescent="0.2">
      <c r="A138" t="s">
        <v>42</v>
      </c>
      <c r="B138">
        <v>747.96148119433803</v>
      </c>
      <c r="C138">
        <v>521.92167606656506</v>
      </c>
      <c r="D138">
        <v>1401.8676467712501</v>
      </c>
      <c r="E138">
        <v>905.713919999984</v>
      </c>
      <c r="F138">
        <v>932.28062843213297</v>
      </c>
      <c r="G138">
        <v>2225.2489964740098</v>
      </c>
      <c r="H138">
        <v>7219.5777338456101</v>
      </c>
      <c r="I138">
        <v>-543.686082510137</v>
      </c>
      <c r="J138">
        <v>-34.015440640865499</v>
      </c>
    </row>
    <row r="139" spans="1:15" x14ac:dyDescent="0.2">
      <c r="A139" t="s">
        <v>43</v>
      </c>
      <c r="B139">
        <v>903.74545010937095</v>
      </c>
      <c r="C139">
        <v>171.35007981143201</v>
      </c>
      <c r="D139">
        <v>1432.1519072492199</v>
      </c>
      <c r="E139">
        <v>905.71392000000003</v>
      </c>
      <c r="F139">
        <v>1179.2514902934499</v>
      </c>
      <c r="G139">
        <v>2013.46426232216</v>
      </c>
      <c r="H139">
        <v>8603.9912286121798</v>
      </c>
      <c r="I139">
        <v>-458.484953254289</v>
      </c>
      <c r="J139">
        <v>-51.944132083743703</v>
      </c>
      <c r="K139">
        <v>-1946.6329456869901</v>
      </c>
      <c r="L139">
        <v>479.42769313643601</v>
      </c>
      <c r="M139">
        <v>75.773268090873202</v>
      </c>
      <c r="N139">
        <v>0</v>
      </c>
      <c r="O139">
        <v>0</v>
      </c>
    </row>
    <row r="140" spans="1:15" x14ac:dyDescent="0.2">
      <c r="A140" t="s">
        <v>44</v>
      </c>
      <c r="B140">
        <v>57.192557540367901</v>
      </c>
      <c r="C140">
        <v>952.35490561534095</v>
      </c>
      <c r="D140">
        <v>1396.3982045667201</v>
      </c>
      <c r="E140">
        <v>905.71391999996194</v>
      </c>
      <c r="F140">
        <v>1116.50851850959</v>
      </c>
      <c r="G140">
        <v>1947.3284878111599</v>
      </c>
      <c r="H140">
        <v>7655.4983234532801</v>
      </c>
      <c r="I140">
        <v>-605.87201771177695</v>
      </c>
      <c r="J140">
        <v>-28.2075495710551</v>
      </c>
    </row>
    <row r="141" spans="1:15" x14ac:dyDescent="0.2">
      <c r="A141" t="s">
        <v>45</v>
      </c>
      <c r="B141">
        <v>319.533427238863</v>
      </c>
      <c r="C141">
        <v>383.11044377866801</v>
      </c>
      <c r="D141">
        <v>1432.97921244759</v>
      </c>
      <c r="E141">
        <v>905.71391999999696</v>
      </c>
      <c r="F141">
        <v>1388.0404590498399</v>
      </c>
      <c r="G141">
        <v>2039.1142770066199</v>
      </c>
      <c r="H141">
        <v>9184.5432163570495</v>
      </c>
      <c r="I141">
        <v>-514.77912782461897</v>
      </c>
      <c r="J141">
        <v>-51.268640755721499</v>
      </c>
      <c r="K141">
        <v>-2443.32410788894</v>
      </c>
      <c r="L141">
        <v>666.62349781340197</v>
      </c>
      <c r="M141" s="1">
        <v>-1.47148758244966E-15</v>
      </c>
      <c r="N141">
        <v>0</v>
      </c>
      <c r="O141">
        <v>0</v>
      </c>
    </row>
    <row r="142" spans="1:15" x14ac:dyDescent="0.2">
      <c r="A142" t="s">
        <v>23</v>
      </c>
      <c r="D142">
        <v>1348.19132862176</v>
      </c>
      <c r="E142">
        <v>905.713920000038</v>
      </c>
      <c r="F142">
        <v>1413.1915799877199</v>
      </c>
      <c r="G142">
        <v>1843.8828759967801</v>
      </c>
      <c r="H142">
        <v>8734.1223350696</v>
      </c>
      <c r="I142">
        <v>-731.18242840265805</v>
      </c>
      <c r="J142">
        <v>-3.4339448679019902</v>
      </c>
    </row>
    <row r="143" spans="1:15" x14ac:dyDescent="0.2">
      <c r="A143" t="s">
        <v>22</v>
      </c>
      <c r="B143">
        <v>0</v>
      </c>
      <c r="C143">
        <v>0</v>
      </c>
      <c r="D143">
        <v>1426.4964433708999</v>
      </c>
      <c r="E143">
        <v>905.71391999996604</v>
      </c>
      <c r="F143">
        <v>1968.9591564239799</v>
      </c>
      <c r="G143">
        <v>2417.6957418194002</v>
      </c>
      <c r="H143">
        <v>9273.1437167102795</v>
      </c>
      <c r="I143">
        <v>-472.191024062346</v>
      </c>
      <c r="J143">
        <v>-40.3897348358717</v>
      </c>
      <c r="K143">
        <v>-3138.3916794879301</v>
      </c>
      <c r="L143">
        <v>599.12632067889103</v>
      </c>
      <c r="M143">
        <v>380.57367238493902</v>
      </c>
      <c r="N143">
        <v>0</v>
      </c>
      <c r="O143">
        <v>0</v>
      </c>
    </row>
    <row r="145" spans="1:19" x14ac:dyDescent="0.2">
      <c r="G145">
        <f>G142+F142</f>
        <v>3257.0744559844998</v>
      </c>
      <c r="H145">
        <f>H142+G142</f>
        <v>10578.00521106638</v>
      </c>
    </row>
    <row r="146" spans="1:19" x14ac:dyDescent="0.2">
      <c r="G146">
        <f>G143+F143</f>
        <v>4386.6548982433796</v>
      </c>
      <c r="H146">
        <f>H143+G143</f>
        <v>11690.839458529679</v>
      </c>
    </row>
    <row r="147" spans="1:19" x14ac:dyDescent="0.2">
      <c r="G147">
        <f>G146/G145-1</f>
        <v>0.34680829607177244</v>
      </c>
      <c r="H147">
        <f>H146/H145-1</f>
        <v>0.10520265638544846</v>
      </c>
    </row>
    <row r="150" spans="1:19" x14ac:dyDescent="0.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12</v>
      </c>
      <c r="N150" t="s">
        <v>13</v>
      </c>
      <c r="O150" t="s">
        <v>14</v>
      </c>
      <c r="P150" t="s">
        <v>15</v>
      </c>
      <c r="Q150" t="s">
        <v>27</v>
      </c>
    </row>
    <row r="151" spans="1:19" x14ac:dyDescent="0.2">
      <c r="A151" t="s">
        <v>38</v>
      </c>
      <c r="D151">
        <v>0.86198911612227402</v>
      </c>
      <c r="E151">
        <v>2.1992051668614998</v>
      </c>
      <c r="F151">
        <v>8.5457020705418394</v>
      </c>
      <c r="G151">
        <v>10.5641599641448</v>
      </c>
      <c r="H151">
        <v>17.6206280842026</v>
      </c>
      <c r="I151">
        <v>10.297111334234399</v>
      </c>
      <c r="J151">
        <v>8.4422374456557606E-2</v>
      </c>
      <c r="K151">
        <v>4.8199178318581799</v>
      </c>
      <c r="L151">
        <v>2.6807849571522402</v>
      </c>
      <c r="M151">
        <v>0</v>
      </c>
      <c r="N151">
        <v>5.0897007741193097</v>
      </c>
      <c r="O151">
        <v>4.8592518088940599E-2</v>
      </c>
      <c r="P151">
        <v>3.0393351586549899</v>
      </c>
      <c r="Q151">
        <v>0.65438116522122203</v>
      </c>
      <c r="R151">
        <f>SUM(B151:Q151)</f>
        <v>66.505930515658847</v>
      </c>
    </row>
    <row r="152" spans="1:19" x14ac:dyDescent="0.2">
      <c r="A152" t="s">
        <v>22</v>
      </c>
      <c r="B152">
        <v>0</v>
      </c>
      <c r="C152">
        <v>0</v>
      </c>
      <c r="D152">
        <v>1.13978422169754</v>
      </c>
      <c r="E152">
        <v>2.9084365015372602</v>
      </c>
      <c r="F152">
        <v>10.1687093265241</v>
      </c>
      <c r="G152">
        <v>10.1603808268033</v>
      </c>
      <c r="H152">
        <v>16.2367166294034</v>
      </c>
      <c r="I152">
        <v>10.1420487854613</v>
      </c>
      <c r="J152">
        <v>0.112381894969906</v>
      </c>
      <c r="K152">
        <v>3.0651663460694198</v>
      </c>
      <c r="L152">
        <v>4.1548865098295904</v>
      </c>
      <c r="M152">
        <v>1.9430735043696099</v>
      </c>
      <c r="N152">
        <v>5.6168685352720598</v>
      </c>
      <c r="O152">
        <v>1.86368536786776E-3</v>
      </c>
      <c r="P152">
        <v>3.6369757608447602</v>
      </c>
      <c r="Q152">
        <v>0.44754417996977303</v>
      </c>
      <c r="R152">
        <f>SUM(B152:Q152)</f>
        <v>69.734836708119872</v>
      </c>
      <c r="S152">
        <f>R151/R152-1</f>
        <v>-4.6302627852644718E-2</v>
      </c>
    </row>
    <row r="155" spans="1:19" x14ac:dyDescent="0.2">
      <c r="B155">
        <v>0</v>
      </c>
      <c r="C155">
        <v>2.8924326821692699</v>
      </c>
      <c r="D155">
        <v>0.86198911612227402</v>
      </c>
      <c r="E155">
        <v>2.1991125989493101</v>
      </c>
      <c r="F155">
        <v>8.3246828402032396</v>
      </c>
      <c r="G155">
        <v>10.7182749590161</v>
      </c>
      <c r="H155">
        <v>17.6003823678322</v>
      </c>
      <c r="I155">
        <v>10.4026734594887</v>
      </c>
      <c r="J155">
        <v>8.4663594492596098E-2</v>
      </c>
      <c r="K155">
        <v>4.7987486713624303</v>
      </c>
      <c r="L155">
        <v>1.3467793962988199</v>
      </c>
      <c r="M155">
        <v>0</v>
      </c>
      <c r="N155">
        <v>5.0924895355509898</v>
      </c>
      <c r="O155">
        <v>4.1278365620240703E-2</v>
      </c>
      <c r="P155">
        <v>2.9610872786915801</v>
      </c>
      <c r="Q155">
        <v>0.65631280828834404</v>
      </c>
      <c r="R155">
        <f>SUM(B155:Q155)</f>
        <v>67.980907674086097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"/>
  <sheetViews>
    <sheetView workbookViewId="0">
      <selection activeCell="G43" sqref="G43"/>
    </sheetView>
  </sheetViews>
  <sheetFormatPr baseColWidth="10" defaultColWidth="8.83203125" defaultRowHeight="15" x14ac:dyDescent="0.2"/>
  <cols>
    <col min="1" max="1" width="15.83203125" customWidth="1"/>
  </cols>
  <sheetData>
    <row r="1" spans="1:20" x14ac:dyDescent="0.2">
      <c r="A1" t="s">
        <v>34</v>
      </c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20" x14ac:dyDescent="0.2">
      <c r="A3" t="s">
        <v>41</v>
      </c>
      <c r="B3">
        <v>13.1071617536687</v>
      </c>
      <c r="C3">
        <v>12.0569357060606</v>
      </c>
      <c r="D3">
        <v>1.13978422169754</v>
      </c>
      <c r="E3">
        <v>2.90840855552293</v>
      </c>
      <c r="F3">
        <v>2.1480384682024298</v>
      </c>
      <c r="G3">
        <v>5.5028067891854304</v>
      </c>
      <c r="H3">
        <v>7.8159332032251001</v>
      </c>
      <c r="I3">
        <v>1.21915082714388</v>
      </c>
      <c r="J3">
        <v>0.11409514633288</v>
      </c>
      <c r="P3">
        <v>2.28652738359862</v>
      </c>
      <c r="R3">
        <f>SUM(B3:Q3)</f>
        <v>48.298842054638101</v>
      </c>
      <c r="S3">
        <f>R$3/R3-1</f>
        <v>0</v>
      </c>
    </row>
    <row r="4" spans="1:20" x14ac:dyDescent="0.2">
      <c r="A4" t="s">
        <v>31</v>
      </c>
      <c r="B4">
        <v>13.100094546637299</v>
      </c>
      <c r="C4">
        <v>11.851004477485199</v>
      </c>
      <c r="D4">
        <v>1.13978422169754</v>
      </c>
      <c r="E4">
        <v>2.9084575632318002</v>
      </c>
      <c r="F4">
        <v>2.15499127482604</v>
      </c>
      <c r="G4">
        <v>5.5094399079490204</v>
      </c>
      <c r="H4">
        <v>7.89477751804609</v>
      </c>
      <c r="I4">
        <v>1.1717675917305601</v>
      </c>
      <c r="J4">
        <v>0.114092339431226</v>
      </c>
      <c r="K4">
        <v>9.3006597532980906E-2</v>
      </c>
      <c r="L4">
        <v>5.60986772366368E-2</v>
      </c>
      <c r="M4">
        <v>0</v>
      </c>
      <c r="N4">
        <v>2.4959255920612201E-2</v>
      </c>
      <c r="O4">
        <v>0</v>
      </c>
      <c r="P4">
        <v>2.2632375960543101</v>
      </c>
      <c r="Q4">
        <v>1.1661039892286101E-2</v>
      </c>
      <c r="R4">
        <f t="shared" ref="R4:R13" si="0">SUM(B4:Q4)</f>
        <v>48.2933726076716</v>
      </c>
      <c r="S4">
        <f>R$3/R4-1</f>
        <v>1.1325460764433082E-4</v>
      </c>
    </row>
    <row r="5" spans="1:20" x14ac:dyDescent="0.2">
      <c r="A5" t="s">
        <v>42</v>
      </c>
      <c r="B5">
        <v>4.5710522515251997</v>
      </c>
      <c r="C5">
        <v>6.3041318481828501</v>
      </c>
      <c r="D5">
        <v>1.13978422169754</v>
      </c>
      <c r="E5">
        <v>2.9081377302548401</v>
      </c>
      <c r="F5">
        <v>4.6034195150704997</v>
      </c>
      <c r="G5">
        <v>9.3744439924196499</v>
      </c>
      <c r="H5">
        <v>14.5462733903551</v>
      </c>
      <c r="I5">
        <v>12.0236260404882</v>
      </c>
      <c r="J5">
        <v>0.111658249817967</v>
      </c>
      <c r="P5">
        <v>3.8999431873332</v>
      </c>
      <c r="R5">
        <f t="shared" si="0"/>
        <v>59.482470427145039</v>
      </c>
      <c r="S5">
        <f>R$5/R5-1</f>
        <v>0</v>
      </c>
    </row>
    <row r="6" spans="1:20" x14ac:dyDescent="0.2">
      <c r="A6" t="s">
        <v>43</v>
      </c>
      <c r="B6">
        <v>5.4251854477115202</v>
      </c>
      <c r="C6">
        <v>3.0528762016238802</v>
      </c>
      <c r="D6">
        <v>1.13978422169754</v>
      </c>
      <c r="E6">
        <v>2.9083970486103001</v>
      </c>
      <c r="F6">
        <v>5.5842071807535101</v>
      </c>
      <c r="G6">
        <v>8.64787971930118</v>
      </c>
      <c r="H6">
        <v>14.578601938244301</v>
      </c>
      <c r="I6">
        <v>8.5786996930284101</v>
      </c>
      <c r="J6">
        <v>0.11369361408675301</v>
      </c>
      <c r="K6">
        <v>1.94685175586671</v>
      </c>
      <c r="L6">
        <v>1.0362172230525299</v>
      </c>
      <c r="M6">
        <v>0.27345713268321198</v>
      </c>
      <c r="N6">
        <v>0.68625261855838304</v>
      </c>
      <c r="O6">
        <v>0</v>
      </c>
      <c r="P6">
        <v>3.5704948106412799</v>
      </c>
      <c r="Q6">
        <v>0.30536739836816901</v>
      </c>
      <c r="R6">
        <f t="shared" si="0"/>
        <v>57.847966004227686</v>
      </c>
      <c r="S6">
        <f>R$5/R6-1</f>
        <v>2.8255175347010386E-2</v>
      </c>
    </row>
    <row r="7" spans="1:20" x14ac:dyDescent="0.2">
      <c r="A7" t="s">
        <v>44</v>
      </c>
      <c r="B7">
        <v>0.48835323072147702</v>
      </c>
      <c r="C7">
        <v>11.8860262765828</v>
      </c>
      <c r="D7">
        <v>1.13978422169754</v>
      </c>
      <c r="E7">
        <v>2.9083698145532102</v>
      </c>
      <c r="F7">
        <v>5.7519025555946603</v>
      </c>
      <c r="G7">
        <v>9.1882576597625008</v>
      </c>
      <c r="H7">
        <v>15.1454777871401</v>
      </c>
      <c r="I7">
        <v>13.733568925313</v>
      </c>
      <c r="J7">
        <v>0.11099890588323801</v>
      </c>
      <c r="P7">
        <v>3.6525597788105402</v>
      </c>
      <c r="R7">
        <f t="shared" si="0"/>
        <v>64.005299156059067</v>
      </c>
      <c r="S7">
        <f>R$7/R7-1</f>
        <v>0</v>
      </c>
    </row>
    <row r="8" spans="1:20" x14ac:dyDescent="0.2">
      <c r="A8" t="s">
        <v>45</v>
      </c>
      <c r="B8">
        <v>2.6611291705482798</v>
      </c>
      <c r="C8">
        <v>4.9420902609898301</v>
      </c>
      <c r="D8">
        <v>1.13978422169754</v>
      </c>
      <c r="E8">
        <v>2.9083934084996299</v>
      </c>
      <c r="F8">
        <v>6.6259381988249197</v>
      </c>
      <c r="G8">
        <v>8.6900898641402708</v>
      </c>
      <c r="H8">
        <v>15.7072817906982</v>
      </c>
      <c r="I8">
        <v>9.5800156645253001</v>
      </c>
      <c r="J8">
        <v>0.113616928573072</v>
      </c>
      <c r="K8">
        <v>2.3190073518530601</v>
      </c>
      <c r="L8">
        <v>1.5431670315903401</v>
      </c>
      <c r="M8">
        <v>0</v>
      </c>
      <c r="N8">
        <v>1.37293154812163</v>
      </c>
      <c r="O8">
        <v>0</v>
      </c>
      <c r="P8">
        <v>3.5137475804848299</v>
      </c>
      <c r="Q8">
        <v>0.32230590179833402</v>
      </c>
      <c r="R8">
        <f t="shared" si="0"/>
        <v>61.439498922345244</v>
      </c>
      <c r="S8">
        <f>R$7/R8-1</f>
        <v>4.176141210000428E-2</v>
      </c>
    </row>
    <row r="9" spans="1:20" x14ac:dyDescent="0.2">
      <c r="A9" t="s">
        <v>23</v>
      </c>
      <c r="D9">
        <v>1.13978422169754</v>
      </c>
      <c r="E9">
        <v>2.9119566664644698</v>
      </c>
      <c r="F9">
        <v>10.4284914412096</v>
      </c>
      <c r="G9">
        <v>10.6602355462489</v>
      </c>
      <c r="H9">
        <v>23.184501254564999</v>
      </c>
      <c r="I9">
        <v>28.704742436873602</v>
      </c>
      <c r="J9">
        <v>0.108186469181849</v>
      </c>
      <c r="P9">
        <v>6.5209964523734998</v>
      </c>
      <c r="R9">
        <f t="shared" si="0"/>
        <v>83.65889448861445</v>
      </c>
    </row>
    <row r="10" spans="1:20" x14ac:dyDescent="0.2">
      <c r="A10" t="s">
        <v>22</v>
      </c>
      <c r="D10">
        <v>1.13978422169754</v>
      </c>
      <c r="E10">
        <v>2.9084365015372602</v>
      </c>
      <c r="F10">
        <v>10.1687093265241</v>
      </c>
      <c r="G10">
        <v>10.1603808268033</v>
      </c>
      <c r="H10">
        <v>16.2367166294034</v>
      </c>
      <c r="I10">
        <v>10.1420487854613</v>
      </c>
      <c r="J10">
        <v>0.112381894969905</v>
      </c>
      <c r="K10">
        <v>3.0651663460694198</v>
      </c>
      <c r="L10">
        <v>4.15488650982957</v>
      </c>
      <c r="M10">
        <v>1.9430735043696601</v>
      </c>
      <c r="N10">
        <v>5.6168685352720402</v>
      </c>
      <c r="O10">
        <v>1.86368536786777E-3</v>
      </c>
      <c r="P10">
        <v>3.6369757608447602</v>
      </c>
      <c r="Q10">
        <v>0.44754417996976997</v>
      </c>
      <c r="R10">
        <f t="shared" si="0"/>
        <v>69.734836708119886</v>
      </c>
      <c r="S10">
        <f>R10/R$9-1</f>
        <v>-0.16643846258797457</v>
      </c>
      <c r="T10">
        <f>R10/R$3-1</f>
        <v>0.4438200532681984</v>
      </c>
    </row>
    <row r="11" spans="1:20" x14ac:dyDescent="0.2">
      <c r="A11" t="s">
        <v>51</v>
      </c>
      <c r="D11">
        <v>1.13978422169754</v>
      </c>
      <c r="E11">
        <v>2.9078479224775999</v>
      </c>
      <c r="F11">
        <v>8.7420752684625196</v>
      </c>
      <c r="G11">
        <v>10.0134987341276</v>
      </c>
      <c r="H11">
        <v>16.079809036845099</v>
      </c>
      <c r="I11">
        <v>7.1188354533095701</v>
      </c>
      <c r="J11">
        <v>0.11416793868953</v>
      </c>
      <c r="K11">
        <v>3.4468925476780399</v>
      </c>
      <c r="L11">
        <v>3.71522054754131</v>
      </c>
      <c r="M11">
        <v>4.4166090208670097</v>
      </c>
      <c r="N11">
        <v>5.1958867990426603</v>
      </c>
      <c r="O11">
        <v>1.8710812448772499E-3</v>
      </c>
      <c r="P11">
        <v>3.1442806308131401</v>
      </c>
      <c r="Q11">
        <v>0.504091234261693</v>
      </c>
      <c r="R11">
        <f t="shared" si="0"/>
        <v>66.540870437058189</v>
      </c>
      <c r="S11">
        <f t="shared" ref="S11:S13" si="1">R11/R$9-1</f>
        <v>-0.20461690482756667</v>
      </c>
      <c r="T11">
        <f>R11/R$3-1</f>
        <v>0.37769080181640335</v>
      </c>
    </row>
    <row r="12" spans="1:20" x14ac:dyDescent="0.2">
      <c r="A12" t="s">
        <v>52</v>
      </c>
      <c r="D12">
        <v>1.13978422169754</v>
      </c>
      <c r="E12">
        <v>2.90914832679388</v>
      </c>
      <c r="F12">
        <v>12.067016407542599</v>
      </c>
      <c r="G12">
        <v>10.9954089873406</v>
      </c>
      <c r="H12">
        <v>16.034475288660001</v>
      </c>
      <c r="I12">
        <v>12.017909704740401</v>
      </c>
      <c r="J12">
        <v>0.1115218369893</v>
      </c>
      <c r="K12">
        <v>2.7197075411489302</v>
      </c>
      <c r="L12">
        <v>4.0459940633014098</v>
      </c>
      <c r="M12">
        <v>0</v>
      </c>
      <c r="N12">
        <v>6.8906281594147698</v>
      </c>
      <c r="O12">
        <v>2.6467842311304899E-3</v>
      </c>
      <c r="P12">
        <v>3.7431071493462298</v>
      </c>
      <c r="Q12">
        <v>0.31522173320459701</v>
      </c>
      <c r="R12">
        <f t="shared" si="0"/>
        <v>72.992570204411379</v>
      </c>
      <c r="S12">
        <f t="shared" si="1"/>
        <v>-0.12749779147099183</v>
      </c>
      <c r="T12">
        <f>R12/R$3-1</f>
        <v>0.51126956877844987</v>
      </c>
    </row>
    <row r="13" spans="1:20" x14ac:dyDescent="0.2">
      <c r="A13" t="s">
        <v>54</v>
      </c>
      <c r="D13">
        <v>1.13978422169754</v>
      </c>
      <c r="E13">
        <v>2.9096074775495802</v>
      </c>
      <c r="F13">
        <v>13.2257644717326</v>
      </c>
      <c r="G13">
        <v>10.1737474046281</v>
      </c>
      <c r="H13">
        <v>16.370834633359198</v>
      </c>
      <c r="I13">
        <v>14.5387731831186</v>
      </c>
      <c r="J13">
        <v>0.111346730707507</v>
      </c>
      <c r="K13">
        <v>1.9925526533342299</v>
      </c>
      <c r="L13">
        <v>3.47632651256367</v>
      </c>
      <c r="M13">
        <v>0</v>
      </c>
      <c r="N13">
        <v>5.9889055794268797</v>
      </c>
      <c r="O13">
        <v>2.06595740018379E-3</v>
      </c>
      <c r="P13">
        <v>3.9759346548266499</v>
      </c>
      <c r="Q13">
        <v>0.186547748420618</v>
      </c>
      <c r="R13">
        <f t="shared" si="0"/>
        <v>74.092191228765358</v>
      </c>
      <c r="S13">
        <f t="shared" si="1"/>
        <v>-0.11435368968629001</v>
      </c>
      <c r="T13">
        <f>R13/R$3-1</f>
        <v>0.53403659543118054</v>
      </c>
    </row>
    <row r="16" spans="1:20" x14ac:dyDescent="0.2">
      <c r="A16" t="s">
        <v>36</v>
      </c>
    </row>
    <row r="17" spans="1:17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15</v>
      </c>
      <c r="O17" t="s">
        <v>16</v>
      </c>
    </row>
    <row r="18" spans="1:17" x14ac:dyDescent="0.2">
      <c r="A18" t="s">
        <v>41</v>
      </c>
      <c r="B18">
        <v>1100</v>
      </c>
      <c r="C18">
        <v>1482.8473745044801</v>
      </c>
      <c r="D18">
        <v>367.10657999999898</v>
      </c>
      <c r="E18">
        <v>120</v>
      </c>
      <c r="F18">
        <v>127.181074481576</v>
      </c>
      <c r="G18">
        <v>813.54002907900997</v>
      </c>
      <c r="H18">
        <v>2689.0803543183401</v>
      </c>
      <c r="I18">
        <v>98.525505537498105</v>
      </c>
      <c r="J18">
        <v>60.340429999999998</v>
      </c>
      <c r="N18">
        <v>2949.43091349929</v>
      </c>
    </row>
    <row r="19" spans="1:17" x14ac:dyDescent="0.2">
      <c r="A19" t="s">
        <v>31</v>
      </c>
      <c r="B19">
        <v>1100</v>
      </c>
      <c r="C19">
        <v>1468.16252412873</v>
      </c>
      <c r="D19">
        <v>367.10657999999898</v>
      </c>
      <c r="E19">
        <v>120</v>
      </c>
      <c r="F19">
        <v>127.59273629776</v>
      </c>
      <c r="G19">
        <v>814.520675472486</v>
      </c>
      <c r="H19">
        <v>2716.4035459071802</v>
      </c>
      <c r="I19">
        <v>94.423047195024097</v>
      </c>
      <c r="J19">
        <v>60.340429999999998</v>
      </c>
      <c r="K19">
        <v>28.718993882657401</v>
      </c>
      <c r="L19">
        <v>17.2803686342939</v>
      </c>
      <c r="M19">
        <v>0</v>
      </c>
      <c r="N19">
        <v>2937.4502399704102</v>
      </c>
      <c r="O19">
        <v>22.615217192563499</v>
      </c>
    </row>
    <row r="20" spans="1:17" x14ac:dyDescent="0.2">
      <c r="A20" t="s">
        <v>42</v>
      </c>
      <c r="B20">
        <v>661.67670448875003</v>
      </c>
      <c r="C20">
        <v>757.43139595748903</v>
      </c>
      <c r="D20">
        <v>367.10657999999898</v>
      </c>
      <c r="E20">
        <v>120</v>
      </c>
      <c r="F20">
        <v>272.55929020026701</v>
      </c>
      <c r="G20">
        <v>1385.92644269844</v>
      </c>
      <c r="H20">
        <v>4997.3456343570097</v>
      </c>
      <c r="I20">
        <v>947.33827896225296</v>
      </c>
      <c r="J20">
        <v>60.340429999999998</v>
      </c>
      <c r="N20">
        <v>4688.7766671275804</v>
      </c>
    </row>
    <row r="21" spans="1:17" x14ac:dyDescent="0.2">
      <c r="A21" t="s">
        <v>43</v>
      </c>
      <c r="B21">
        <v>776.49239046681703</v>
      </c>
      <c r="C21">
        <v>551.492882118578</v>
      </c>
      <c r="D21">
        <v>367.10657999999898</v>
      </c>
      <c r="E21">
        <v>120</v>
      </c>
      <c r="F21">
        <v>330.629772180148</v>
      </c>
      <c r="G21">
        <v>1278.51051069766</v>
      </c>
      <c r="H21">
        <v>5008.4313637012301</v>
      </c>
      <c r="I21">
        <v>678.88696097370496</v>
      </c>
      <c r="J21">
        <v>60.340429999999998</v>
      </c>
      <c r="K21">
        <v>601.15760763477294</v>
      </c>
      <c r="L21">
        <v>309.75440681638202</v>
      </c>
      <c r="M21">
        <v>18.3448398661689</v>
      </c>
      <c r="N21">
        <v>4331.6695803286902</v>
      </c>
      <c r="O21">
        <v>835.08696823485502</v>
      </c>
    </row>
    <row r="22" spans="1:17" x14ac:dyDescent="0.2">
      <c r="A22" t="s">
        <v>44</v>
      </c>
      <c r="B22">
        <v>90.9300495928739</v>
      </c>
      <c r="C22">
        <v>1456.27423574615</v>
      </c>
      <c r="D22">
        <v>367.10657999999898</v>
      </c>
      <c r="E22">
        <v>119.99999999999901</v>
      </c>
      <c r="F22">
        <v>340.55868093741799</v>
      </c>
      <c r="G22">
        <v>1358.40048362212</v>
      </c>
      <c r="H22">
        <v>5203.1137149206797</v>
      </c>
      <c r="I22">
        <v>1055.7709612364999</v>
      </c>
      <c r="J22">
        <v>60.340429999999998</v>
      </c>
      <c r="N22">
        <v>4294.1065954613596</v>
      </c>
    </row>
    <row r="23" spans="1:17" x14ac:dyDescent="0.2">
      <c r="A23" t="s">
        <v>45</v>
      </c>
      <c r="B23">
        <v>465.04071276827602</v>
      </c>
      <c r="C23">
        <v>647.70544985369895</v>
      </c>
      <c r="D23">
        <v>367.10657999999898</v>
      </c>
      <c r="E23">
        <v>120</v>
      </c>
      <c r="F23">
        <v>392.30858853299497</v>
      </c>
      <c r="G23">
        <v>1284.75089742672</v>
      </c>
      <c r="H23">
        <v>5395.5547827411001</v>
      </c>
      <c r="I23">
        <v>758.52611559009199</v>
      </c>
      <c r="J23">
        <v>60.340429999999998</v>
      </c>
      <c r="K23">
        <v>716.07347992801101</v>
      </c>
      <c r="L23">
        <v>465.001418866748</v>
      </c>
      <c r="M23">
        <v>0</v>
      </c>
      <c r="N23">
        <v>4238.79687088634</v>
      </c>
      <c r="O23">
        <v>865.23361046854905</v>
      </c>
    </row>
    <row r="24" spans="1:17" x14ac:dyDescent="0.2">
      <c r="A24" t="s">
        <v>23</v>
      </c>
      <c r="D24">
        <v>367.10657999999898</v>
      </c>
      <c r="E24">
        <v>120</v>
      </c>
      <c r="F24">
        <v>617.45018366680904</v>
      </c>
      <c r="G24">
        <v>1576.0190514645001</v>
      </c>
      <c r="H24">
        <v>7958.7847577462098</v>
      </c>
      <c r="I24">
        <v>2468.9409261184501</v>
      </c>
      <c r="J24">
        <v>60.340429999999998</v>
      </c>
      <c r="N24">
        <v>7045.3615816689398</v>
      </c>
    </row>
    <row r="25" spans="1:17" x14ac:dyDescent="0.2">
      <c r="A25" t="s">
        <v>22</v>
      </c>
      <c r="D25">
        <v>367.10657999999898</v>
      </c>
      <c r="E25">
        <v>119.99999999999901</v>
      </c>
      <c r="F25">
        <v>602.06900266568402</v>
      </c>
      <c r="G25">
        <v>1502.1200688957699</v>
      </c>
      <c r="H25">
        <v>5577.5865880136098</v>
      </c>
      <c r="I25">
        <v>819.70962430467</v>
      </c>
      <c r="J25">
        <v>60.340429999999998</v>
      </c>
      <c r="K25">
        <v>946.47579716997495</v>
      </c>
      <c r="L25">
        <v>1345.5525380491199</v>
      </c>
      <c r="M25">
        <v>130.35085951534001</v>
      </c>
      <c r="N25">
        <v>4085.1793827619399</v>
      </c>
      <c r="O25">
        <v>1051.84425093408</v>
      </c>
    </row>
    <row r="27" spans="1:17" x14ac:dyDescent="0.2">
      <c r="F27">
        <f>F25/F24-1</f>
        <v>-2.4910804803363829E-2</v>
      </c>
      <c r="G27">
        <f t="shared" ref="G27:I27" si="2">G25/G24-1</f>
        <v>-4.6889650540747119E-2</v>
      </c>
      <c r="H27">
        <f t="shared" si="2"/>
        <v>-0.29919117581550403</v>
      </c>
      <c r="I27">
        <f t="shared" si="2"/>
        <v>-0.6679913984036151</v>
      </c>
      <c r="N27">
        <f>N25/N24-1</f>
        <v>-0.42016043670618497</v>
      </c>
    </row>
    <row r="28" spans="1:17" x14ac:dyDescent="0.2">
      <c r="G28">
        <f>(F25+G25)/(F24+G24)-1</f>
        <v>-4.0702719755497552E-2</v>
      </c>
    </row>
    <row r="30" spans="1:17" x14ac:dyDescent="0.2">
      <c r="A30" t="s">
        <v>35</v>
      </c>
    </row>
    <row r="31" spans="1:17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t="s">
        <v>14</v>
      </c>
    </row>
    <row r="32" spans="1:17" x14ac:dyDescent="0.2">
      <c r="A32" t="s">
        <v>41</v>
      </c>
      <c r="B32">
        <v>3716.48449128432</v>
      </c>
      <c r="C32">
        <v>945.50215039740306</v>
      </c>
      <c r="D32">
        <v>1426.77908962621</v>
      </c>
      <c r="E32">
        <v>905.713920000033</v>
      </c>
      <c r="F32">
        <v>438.14494536177699</v>
      </c>
      <c r="G32">
        <v>1366.4864355510499</v>
      </c>
      <c r="H32">
        <v>4544.7973319862704</v>
      </c>
      <c r="I32">
        <v>-65.825865863158498</v>
      </c>
      <c r="J32">
        <v>-55.481065425642598</v>
      </c>
      <c r="Q32">
        <f>SUM(F32:H32)/SUM(B32:J32)</f>
        <v>0.48019512235254319</v>
      </c>
    </row>
    <row r="33" spans="1:17" x14ac:dyDescent="0.2">
      <c r="A33" t="s">
        <v>31</v>
      </c>
      <c r="B33">
        <v>3710.4446104193498</v>
      </c>
      <c r="C33">
        <v>926.74285733269596</v>
      </c>
      <c r="D33">
        <v>1461.17832332685</v>
      </c>
      <c r="E33">
        <v>905.71391999994398</v>
      </c>
      <c r="F33">
        <v>447.99009673850099</v>
      </c>
      <c r="G33">
        <v>1389.19678082472</v>
      </c>
      <c r="H33">
        <v>4552.8883201469298</v>
      </c>
      <c r="I33">
        <v>-63.450495064769903</v>
      </c>
      <c r="J33">
        <v>-55.456340576904601</v>
      </c>
      <c r="K33">
        <v>-71.474071669977207</v>
      </c>
      <c r="L33">
        <v>19.426065222338501</v>
      </c>
      <c r="M33" s="1">
        <v>7.3216544468600097E-16</v>
      </c>
      <c r="N33">
        <v>0</v>
      </c>
      <c r="O33">
        <v>0</v>
      </c>
      <c r="Q33">
        <f t="shared" ref="Q33:Q39" si="3">SUM(F33:H33)/SUM(B33:J33)</f>
        <v>0.48135260166141525</v>
      </c>
    </row>
    <row r="34" spans="1:17" x14ac:dyDescent="0.2">
      <c r="A34" t="s">
        <v>42</v>
      </c>
      <c r="B34">
        <v>747.96148119433803</v>
      </c>
      <c r="C34">
        <v>521.92167606656506</v>
      </c>
      <c r="D34">
        <v>1401.8676467712501</v>
      </c>
      <c r="E34">
        <v>905.713919999984</v>
      </c>
      <c r="F34">
        <v>932.28062843213297</v>
      </c>
      <c r="G34">
        <v>2225.2489964740098</v>
      </c>
      <c r="H34">
        <v>7219.5777338456101</v>
      </c>
      <c r="I34">
        <v>-543.686082510137</v>
      </c>
      <c r="J34">
        <v>-34.015440640865499</v>
      </c>
      <c r="Q34">
        <f t="shared" si="3"/>
        <v>0.77575000165334196</v>
      </c>
    </row>
    <row r="35" spans="1:17" x14ac:dyDescent="0.2">
      <c r="A35" t="s">
        <v>43</v>
      </c>
      <c r="B35">
        <v>903.74545010937095</v>
      </c>
      <c r="C35">
        <v>171.35007981143201</v>
      </c>
      <c r="D35">
        <v>1432.1519072492199</v>
      </c>
      <c r="E35">
        <v>905.71392000000003</v>
      </c>
      <c r="F35">
        <v>1179.2514902934499</v>
      </c>
      <c r="G35">
        <v>2013.46426232216</v>
      </c>
      <c r="H35">
        <v>8603.9912286121798</v>
      </c>
      <c r="I35">
        <v>-458.484953254289</v>
      </c>
      <c r="J35">
        <v>-51.944132083743703</v>
      </c>
      <c r="K35">
        <v>-1946.6329456869901</v>
      </c>
      <c r="L35">
        <v>479.42769313643601</v>
      </c>
      <c r="M35">
        <v>75.773268090873202</v>
      </c>
      <c r="N35">
        <v>0</v>
      </c>
      <c r="O35">
        <v>0</v>
      </c>
      <c r="Q35">
        <f t="shared" si="3"/>
        <v>0.80253860612359229</v>
      </c>
    </row>
    <row r="36" spans="1:17" x14ac:dyDescent="0.2">
      <c r="A36" t="s">
        <v>44</v>
      </c>
      <c r="B36">
        <v>57.192557540367901</v>
      </c>
      <c r="C36">
        <v>952.35490561534095</v>
      </c>
      <c r="D36">
        <v>1396.3982045667201</v>
      </c>
      <c r="E36">
        <v>905.71391999996194</v>
      </c>
      <c r="F36">
        <v>1116.50851850959</v>
      </c>
      <c r="G36">
        <v>1947.3284878111599</v>
      </c>
      <c r="H36">
        <v>7655.4983234532801</v>
      </c>
      <c r="I36">
        <v>-605.87201771177695</v>
      </c>
      <c r="J36">
        <v>-28.2075495710551</v>
      </c>
      <c r="Q36">
        <f t="shared" si="3"/>
        <v>0.80013458692214046</v>
      </c>
    </row>
    <row r="37" spans="1:17" x14ac:dyDescent="0.2">
      <c r="A37" t="s">
        <v>45</v>
      </c>
      <c r="B37">
        <v>319.533427238863</v>
      </c>
      <c r="C37">
        <v>383.11044377866801</v>
      </c>
      <c r="D37">
        <v>1432.97921244759</v>
      </c>
      <c r="E37">
        <v>905.71391999999696</v>
      </c>
      <c r="F37">
        <v>1388.0404590498399</v>
      </c>
      <c r="G37">
        <v>2039.1142770066199</v>
      </c>
      <c r="H37">
        <v>9184.5432163570495</v>
      </c>
      <c r="I37">
        <v>-514.77912782461897</v>
      </c>
      <c r="J37">
        <v>-51.268640755721499</v>
      </c>
      <c r="K37">
        <v>-2443.32410788894</v>
      </c>
      <c r="L37">
        <v>666.62349781340197</v>
      </c>
      <c r="M37" s="1">
        <v>-1.47148758244966E-15</v>
      </c>
      <c r="N37">
        <v>0</v>
      </c>
      <c r="O37">
        <v>0</v>
      </c>
      <c r="Q37">
        <f t="shared" si="3"/>
        <v>0.83593217093942251</v>
      </c>
    </row>
    <row r="38" spans="1:17" x14ac:dyDescent="0.2">
      <c r="A38" t="s">
        <v>23</v>
      </c>
      <c r="D38">
        <v>1348.19132862176</v>
      </c>
      <c r="E38">
        <v>905.713920000038</v>
      </c>
      <c r="F38">
        <v>1413.1915799877199</v>
      </c>
      <c r="G38">
        <v>1843.8828759967801</v>
      </c>
      <c r="H38">
        <v>8734.1223350696</v>
      </c>
      <c r="I38">
        <v>-731.18242840265805</v>
      </c>
      <c r="J38">
        <v>-3.4339448679019902</v>
      </c>
      <c r="Q38">
        <f t="shared" si="3"/>
        <v>0.8875474270233642</v>
      </c>
    </row>
    <row r="39" spans="1:17" x14ac:dyDescent="0.2">
      <c r="A39" t="s">
        <v>22</v>
      </c>
      <c r="D39">
        <v>1429.81621491542</v>
      </c>
      <c r="E39">
        <v>905.71391999996604</v>
      </c>
      <c r="F39">
        <v>1973.3909848327901</v>
      </c>
      <c r="G39">
        <v>2439.9424904264602</v>
      </c>
      <c r="H39">
        <v>9234.1551016377307</v>
      </c>
      <c r="I39">
        <v>-472.19102406234703</v>
      </c>
      <c r="J39">
        <v>-40.389734835869803</v>
      </c>
      <c r="K39">
        <v>-3138.0822390923499</v>
      </c>
      <c r="L39">
        <v>599.12632067888501</v>
      </c>
      <c r="M39">
        <v>380.54023715789202</v>
      </c>
      <c r="N39">
        <v>0</v>
      </c>
      <c r="O39">
        <v>0</v>
      </c>
      <c r="Q39">
        <f t="shared" si="3"/>
        <v>0.88216562572013146</v>
      </c>
    </row>
    <row r="41" spans="1:17" x14ac:dyDescent="0.2">
      <c r="F41">
        <f>F39/F38-1</f>
        <v>0.396407261958027</v>
      </c>
      <c r="G41">
        <f t="shared" ref="G41:I41" si="4">G39/G38-1</f>
        <v>0.32326327349152129</v>
      </c>
      <c r="H41">
        <f t="shared" si="4"/>
        <v>5.7250488072554173E-2</v>
      </c>
      <c r="I41">
        <f t="shared" si="4"/>
        <v>-0.35420901033700158</v>
      </c>
    </row>
    <row r="42" spans="1:17" x14ac:dyDescent="0.2">
      <c r="G42">
        <f>(F39+G39)/(F38+G38)-1</f>
        <v>0.35499925927399589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1"/>
  <sheetViews>
    <sheetView topLeftCell="B20" workbookViewId="0">
      <selection activeCell="Y46" sqref="Y46:Y49"/>
    </sheetView>
  </sheetViews>
  <sheetFormatPr baseColWidth="10" defaultColWidth="8.83203125" defaultRowHeight="15" x14ac:dyDescent="0.2"/>
  <cols>
    <col min="1" max="1" width="59.1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37</v>
      </c>
      <c r="O1" t="s">
        <v>62</v>
      </c>
      <c r="P1" t="s">
        <v>13</v>
      </c>
      <c r="Q1" t="s">
        <v>14</v>
      </c>
      <c r="R1" t="s">
        <v>15</v>
      </c>
      <c r="S1" t="s">
        <v>27</v>
      </c>
      <c r="T1" t="s">
        <v>28</v>
      </c>
      <c r="U1" t="s">
        <v>29</v>
      </c>
      <c r="V1" t="s">
        <v>30</v>
      </c>
    </row>
    <row r="2" spans="1:24" x14ac:dyDescent="0.2">
      <c r="A2" t="s">
        <v>63</v>
      </c>
      <c r="D2">
        <v>0.86198911612227402</v>
      </c>
      <c r="E2">
        <v>2.1998216084956499</v>
      </c>
      <c r="F2">
        <v>8.3128123124213698</v>
      </c>
      <c r="G2">
        <v>10.0660857773807</v>
      </c>
      <c r="H2">
        <v>16.778560845384899</v>
      </c>
      <c r="I2">
        <v>10.664821095228501</v>
      </c>
      <c r="J2">
        <v>8.5641046266736895E-2</v>
      </c>
      <c r="K2">
        <v>4.1929586864137196</v>
      </c>
      <c r="L2">
        <v>2.6340285075829</v>
      </c>
      <c r="M2">
        <v>0</v>
      </c>
      <c r="N2">
        <v>2.49598453242041</v>
      </c>
      <c r="O2">
        <v>0</v>
      </c>
      <c r="P2">
        <v>4.1830712833761501</v>
      </c>
      <c r="Q2">
        <v>1.1932649022387499E-3</v>
      </c>
      <c r="R2">
        <v>3.0103963986789899</v>
      </c>
      <c r="S2">
        <v>0.52863904294200803</v>
      </c>
      <c r="T2">
        <v>1.21102301343255E-4</v>
      </c>
      <c r="U2">
        <v>0.14924462763207599</v>
      </c>
      <c r="V2">
        <v>9.2517358652542299E-3</v>
      </c>
      <c r="W2">
        <f t="shared" ref="W2:W3" si="0">SUM(B1:V1)</f>
        <v>0</v>
      </c>
    </row>
    <row r="3" spans="1:24" x14ac:dyDescent="0.2">
      <c r="A3" t="s">
        <v>38</v>
      </c>
      <c r="D3">
        <v>0.86198911612227402</v>
      </c>
      <c r="E3">
        <v>2.1992051668614998</v>
      </c>
      <c r="F3">
        <v>8.5457020705418394</v>
      </c>
      <c r="G3">
        <v>10.5641599641448</v>
      </c>
      <c r="H3">
        <v>17.6206280842026</v>
      </c>
      <c r="I3">
        <v>10.297111334234399</v>
      </c>
      <c r="J3">
        <v>8.4422374456557606E-2</v>
      </c>
      <c r="K3">
        <v>4.8199178318581799</v>
      </c>
      <c r="L3">
        <v>2.6807849571522402</v>
      </c>
      <c r="M3">
        <v>0</v>
      </c>
      <c r="P3">
        <v>5.0897007741193097</v>
      </c>
      <c r="Q3">
        <v>4.8592518088940599E-2</v>
      </c>
      <c r="R3">
        <v>3.0393351586549899</v>
      </c>
      <c r="S3">
        <v>0.65438116522122203</v>
      </c>
      <c r="W3">
        <f t="shared" si="0"/>
        <v>66.17462098341521</v>
      </c>
    </row>
    <row r="4" spans="1:24" x14ac:dyDescent="0.2">
      <c r="A4" t="s">
        <v>22</v>
      </c>
      <c r="D4">
        <v>1.13978422169754</v>
      </c>
      <c r="E4">
        <v>2.9084365015372602</v>
      </c>
      <c r="F4">
        <v>10.1687093265241</v>
      </c>
      <c r="G4">
        <v>10.1603808268033</v>
      </c>
      <c r="H4">
        <v>16.2367166294034</v>
      </c>
      <c r="I4">
        <v>10.1420487854613</v>
      </c>
      <c r="J4">
        <v>0.112381894969905</v>
      </c>
      <c r="K4">
        <v>3.0651663460694198</v>
      </c>
      <c r="L4">
        <v>4.15488650982957</v>
      </c>
      <c r="M4">
        <v>1.9430735043696601</v>
      </c>
      <c r="P4">
        <v>5.6168685352720402</v>
      </c>
      <c r="Q4">
        <v>1.86368536786777E-3</v>
      </c>
      <c r="R4">
        <v>3.6369757608447602</v>
      </c>
      <c r="S4">
        <v>0.44754417996976997</v>
      </c>
      <c r="W4">
        <f>SUM(B3:V3)</f>
        <v>66.505930515658847</v>
      </c>
    </row>
    <row r="7" spans="1:24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37</v>
      </c>
      <c r="O7" t="s">
        <v>62</v>
      </c>
      <c r="P7" t="s">
        <v>13</v>
      </c>
      <c r="Q7" t="s">
        <v>14</v>
      </c>
      <c r="R7" t="s">
        <v>15</v>
      </c>
      <c r="S7" t="s">
        <v>27</v>
      </c>
      <c r="T7" t="s">
        <v>28</v>
      </c>
      <c r="U7" t="s">
        <v>29</v>
      </c>
      <c r="V7" t="s">
        <v>30</v>
      </c>
    </row>
    <row r="8" spans="1:24" x14ac:dyDescent="0.2">
      <c r="A8" t="s">
        <v>63</v>
      </c>
      <c r="B8">
        <v>0</v>
      </c>
      <c r="C8">
        <v>0</v>
      </c>
      <c r="D8">
        <v>0.86198911612227402</v>
      </c>
      <c r="E8">
        <v>2.1997903820068001</v>
      </c>
      <c r="F8">
        <v>8.3039846738291097</v>
      </c>
      <c r="G8">
        <v>10.0694925544417</v>
      </c>
      <c r="H8">
        <v>16.783375317019399</v>
      </c>
      <c r="I8">
        <v>10.6689958134666</v>
      </c>
      <c r="J8">
        <v>8.5637163007191305E-2</v>
      </c>
      <c r="K8">
        <v>4.1950507388063603</v>
      </c>
      <c r="L8">
        <v>2.6326319114560999</v>
      </c>
      <c r="M8">
        <v>0</v>
      </c>
      <c r="N8">
        <v>2.4908229803443298</v>
      </c>
      <c r="O8">
        <v>0</v>
      </c>
      <c r="P8">
        <v>4.1862278180770902</v>
      </c>
      <c r="Q8">
        <v>1.19754176654359E-3</v>
      </c>
      <c r="R8">
        <v>3.0092173630869601</v>
      </c>
      <c r="S8">
        <v>0.52841400119205295</v>
      </c>
      <c r="T8">
        <v>0</v>
      </c>
      <c r="U8">
        <v>0.14924580875879401</v>
      </c>
      <c r="V8">
        <v>9.1699253214426405E-3</v>
      </c>
      <c r="W8">
        <f>SUM(B8:V8)</f>
        <v>66.175243108702745</v>
      </c>
    </row>
    <row r="9" spans="1:24" x14ac:dyDescent="0.2">
      <c r="A9" t="s">
        <v>64</v>
      </c>
      <c r="B9">
        <v>0</v>
      </c>
      <c r="C9">
        <v>0</v>
      </c>
      <c r="D9">
        <v>0.86236678096785102</v>
      </c>
      <c r="E9">
        <v>2.20042667807048</v>
      </c>
      <c r="F9">
        <v>8.0327360729141208</v>
      </c>
      <c r="G9">
        <v>10.352044162285701</v>
      </c>
      <c r="H9">
        <v>17.045157712021499</v>
      </c>
      <c r="I9">
        <v>10.7383945247902</v>
      </c>
      <c r="J9">
        <v>8.5668971994602203E-2</v>
      </c>
      <c r="K9">
        <v>4.3107996173437</v>
      </c>
      <c r="L9">
        <v>2.6050887266182801</v>
      </c>
      <c r="M9">
        <v>0</v>
      </c>
      <c r="N9">
        <v>1.78974633201001</v>
      </c>
      <c r="O9" s="1">
        <v>-5.2777224501946304E-21</v>
      </c>
      <c r="P9">
        <v>4.0023631049681203</v>
      </c>
      <c r="Q9">
        <v>0</v>
      </c>
      <c r="R9">
        <v>3.0904758427141501</v>
      </c>
      <c r="S9">
        <v>0.54381256921952403</v>
      </c>
      <c r="T9">
        <v>1.38402795800015E-3</v>
      </c>
      <c r="U9">
        <v>0.208080754496037</v>
      </c>
      <c r="V9">
        <v>7.0043099020361804E-3</v>
      </c>
      <c r="W9">
        <f t="shared" ref="W9:W15" si="1">SUM(B9:V9)</f>
        <v>65.875550188274303</v>
      </c>
    </row>
    <row r="10" spans="1:24" x14ac:dyDescent="0.2">
      <c r="A10" t="s">
        <v>65</v>
      </c>
      <c r="B10">
        <v>0</v>
      </c>
      <c r="C10">
        <v>0</v>
      </c>
      <c r="D10">
        <v>0.86198911612227402</v>
      </c>
      <c r="E10">
        <v>2.1995336442590099</v>
      </c>
      <c r="F10">
        <v>9.83044078158232</v>
      </c>
      <c r="G10">
        <v>9.6544517485027797</v>
      </c>
      <c r="H10">
        <v>17.426675599330501</v>
      </c>
      <c r="I10">
        <v>10.6916027536314</v>
      </c>
      <c r="J10">
        <v>8.5910097430683494E-2</v>
      </c>
      <c r="K10">
        <v>4.7015921083077998</v>
      </c>
      <c r="L10">
        <v>2.6806600235754998</v>
      </c>
      <c r="M10">
        <v>0</v>
      </c>
      <c r="N10">
        <v>2.4579375458940902</v>
      </c>
      <c r="O10">
        <v>0</v>
      </c>
      <c r="P10">
        <v>3.3236484619841802</v>
      </c>
      <c r="Q10">
        <v>0.12010189232221501</v>
      </c>
      <c r="R10">
        <v>3.53181580690012</v>
      </c>
      <c r="S10">
        <v>0.233237012755204</v>
      </c>
      <c r="T10">
        <v>0</v>
      </c>
      <c r="U10">
        <v>0.84013650667108097</v>
      </c>
      <c r="V10">
        <v>7.9545675228309097E-3</v>
      </c>
      <c r="W10">
        <f t="shared" si="1"/>
        <v>68.647687666791995</v>
      </c>
    </row>
    <row r="11" spans="1:24" x14ac:dyDescent="0.2">
      <c r="A11" t="s">
        <v>66</v>
      </c>
      <c r="B11">
        <v>0</v>
      </c>
      <c r="C11">
        <v>0</v>
      </c>
      <c r="D11">
        <v>0.86198911612227402</v>
      </c>
      <c r="E11">
        <v>2.1994617047449001</v>
      </c>
      <c r="F11">
        <v>7.9698847847888699</v>
      </c>
      <c r="G11">
        <v>10.3681500353413</v>
      </c>
      <c r="H11">
        <v>17.190450509921799</v>
      </c>
      <c r="I11">
        <v>10.686345253074901</v>
      </c>
      <c r="J11">
        <v>8.5620715297525005E-2</v>
      </c>
      <c r="K11">
        <v>4.4067600582732496</v>
      </c>
      <c r="L11">
        <v>2.61639456942655</v>
      </c>
      <c r="M11">
        <v>0</v>
      </c>
      <c r="N11">
        <v>1.41760452468327</v>
      </c>
      <c r="O11">
        <v>0</v>
      </c>
      <c r="P11">
        <v>4.7287980306802799</v>
      </c>
      <c r="Q11">
        <v>2.0707596615123299E-3</v>
      </c>
      <c r="R11">
        <v>3.0714664153296201</v>
      </c>
      <c r="S11">
        <v>0.580401271653739</v>
      </c>
      <c r="T11">
        <v>0</v>
      </c>
      <c r="U11">
        <v>0.165322356528674</v>
      </c>
      <c r="V11">
        <v>6.6664290904968103E-3</v>
      </c>
      <c r="W11">
        <f t="shared" si="1"/>
        <v>66.357386534618968</v>
      </c>
    </row>
    <row r="12" spans="1:24" x14ac:dyDescent="0.2">
      <c r="A12" t="s">
        <v>53</v>
      </c>
      <c r="B12">
        <v>0</v>
      </c>
      <c r="C12">
        <v>0</v>
      </c>
      <c r="D12">
        <v>0.86236678096785102</v>
      </c>
      <c r="E12">
        <v>2.2000225168307499</v>
      </c>
      <c r="F12">
        <v>8.8371429791591005</v>
      </c>
      <c r="G12">
        <v>10.664015604222801</v>
      </c>
      <c r="H12">
        <v>17.512829716088898</v>
      </c>
      <c r="I12">
        <v>9.9819116556036303</v>
      </c>
      <c r="J12">
        <v>8.4441808145851602E-2</v>
      </c>
      <c r="K12">
        <v>4.9047875931067102</v>
      </c>
      <c r="L12">
        <v>2.7420318284545999</v>
      </c>
      <c r="M12">
        <v>0</v>
      </c>
      <c r="P12">
        <v>4.5256896713519001</v>
      </c>
      <c r="Q12">
        <v>2.5878554332550999E-2</v>
      </c>
      <c r="R12">
        <v>3.0323515965397601</v>
      </c>
      <c r="S12">
        <v>0.64529103743287797</v>
      </c>
      <c r="W12">
        <f t="shared" si="1"/>
        <v>66.018761342237283</v>
      </c>
    </row>
    <row r="13" spans="1:24" x14ac:dyDescent="0.2">
      <c r="A13" t="s">
        <v>67</v>
      </c>
      <c r="B13">
        <v>0</v>
      </c>
      <c r="C13">
        <v>0</v>
      </c>
      <c r="D13">
        <v>0.86198911612227402</v>
      </c>
      <c r="E13">
        <v>2.1988329722643001</v>
      </c>
      <c r="F13">
        <v>10.5737617476116</v>
      </c>
      <c r="G13">
        <v>10.944287488301701</v>
      </c>
      <c r="H13">
        <v>17.464004006845901</v>
      </c>
      <c r="I13">
        <v>9.4042657610776192</v>
      </c>
      <c r="J13">
        <v>8.5662917021600907E-2</v>
      </c>
      <c r="K13">
        <v>5.0884582045799203</v>
      </c>
      <c r="L13">
        <v>2.8460047027659399</v>
      </c>
      <c r="M13">
        <v>7.3421821214689003E-4</v>
      </c>
      <c r="P13">
        <v>5.35812073916959</v>
      </c>
      <c r="Q13">
        <v>2.21784361359967</v>
      </c>
      <c r="R13">
        <v>4.04613824862549</v>
      </c>
      <c r="S13">
        <v>0.290027002155064</v>
      </c>
      <c r="W13">
        <f t="shared" si="1"/>
        <v>71.380130738352833</v>
      </c>
    </row>
    <row r="14" spans="1:24" x14ac:dyDescent="0.2">
      <c r="A14" t="s">
        <v>38</v>
      </c>
      <c r="B14">
        <v>0</v>
      </c>
      <c r="C14">
        <v>0</v>
      </c>
      <c r="D14">
        <v>0.86198911612227402</v>
      </c>
      <c r="E14">
        <v>2.1992051668614701</v>
      </c>
      <c r="F14">
        <v>8.5457020705418394</v>
      </c>
      <c r="G14">
        <v>10.5641599641448</v>
      </c>
      <c r="H14">
        <v>17.6206280842026</v>
      </c>
      <c r="I14">
        <v>10.297111334234399</v>
      </c>
      <c r="J14">
        <v>8.4422374456557606E-2</v>
      </c>
      <c r="K14">
        <v>4.8199178318581799</v>
      </c>
      <c r="L14">
        <v>2.6807849571522402</v>
      </c>
      <c r="M14">
        <v>0</v>
      </c>
      <c r="P14">
        <v>5.0897007741193097</v>
      </c>
      <c r="Q14">
        <v>4.8592518088940599E-2</v>
      </c>
      <c r="R14">
        <v>3.0393351586549899</v>
      </c>
      <c r="S14">
        <v>0.65438116522122203</v>
      </c>
      <c r="W14">
        <f t="shared" si="1"/>
        <v>66.505930515658818</v>
      </c>
      <c r="X14">
        <f>W14/W13-1</f>
        <v>-6.8285112009119464E-2</v>
      </c>
    </row>
    <row r="15" spans="1:24" x14ac:dyDescent="0.2">
      <c r="A15" t="s">
        <v>22</v>
      </c>
      <c r="B15">
        <v>0</v>
      </c>
      <c r="C15">
        <v>0</v>
      </c>
      <c r="D15">
        <v>1.13978422169754</v>
      </c>
      <c r="E15">
        <v>2.90843650153721</v>
      </c>
      <c r="F15">
        <v>10.1687093265241</v>
      </c>
      <c r="G15">
        <v>10.1603808268033</v>
      </c>
      <c r="H15">
        <v>16.2367166294034</v>
      </c>
      <c r="I15">
        <v>10.1420487854613</v>
      </c>
      <c r="J15">
        <v>0.112381894969905</v>
      </c>
      <c r="K15">
        <v>3.0651663460694198</v>
      </c>
      <c r="L15">
        <v>4.15488650982957</v>
      </c>
      <c r="M15">
        <v>1.9430735043696601</v>
      </c>
      <c r="P15">
        <v>5.61686853527205</v>
      </c>
      <c r="Q15">
        <v>1.86368536786777E-3</v>
      </c>
      <c r="R15">
        <v>3.6369757608447602</v>
      </c>
      <c r="S15">
        <v>0.44754417996976997</v>
      </c>
      <c r="W15">
        <f t="shared" si="1"/>
        <v>69.734836708119857</v>
      </c>
    </row>
    <row r="20" spans="1:24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37</v>
      </c>
      <c r="O20" t="s">
        <v>62</v>
      </c>
      <c r="P20" t="s">
        <v>13</v>
      </c>
      <c r="Q20" t="s">
        <v>14</v>
      </c>
      <c r="R20" t="s">
        <v>15</v>
      </c>
      <c r="S20" t="s">
        <v>27</v>
      </c>
      <c r="T20" t="s">
        <v>28</v>
      </c>
      <c r="U20" t="s">
        <v>29</v>
      </c>
      <c r="V20" t="s">
        <v>30</v>
      </c>
    </row>
    <row r="21" spans="1:24" x14ac:dyDescent="0.2">
      <c r="A21" t="s">
        <v>22</v>
      </c>
      <c r="B21">
        <v>0</v>
      </c>
      <c r="C21">
        <v>0</v>
      </c>
      <c r="D21">
        <v>1.13978422169754</v>
      </c>
      <c r="E21">
        <v>2.90843650153721</v>
      </c>
      <c r="F21">
        <v>10.1687093265241</v>
      </c>
      <c r="G21">
        <v>10.1603808268033</v>
      </c>
      <c r="H21">
        <v>16.2367166294034</v>
      </c>
      <c r="I21">
        <v>10.1420487854613</v>
      </c>
      <c r="J21">
        <v>0.112381894969905</v>
      </c>
      <c r="K21">
        <v>3.0651663460694198</v>
      </c>
      <c r="L21">
        <v>4.15488650982957</v>
      </c>
      <c r="M21">
        <v>1.9430735043696601</v>
      </c>
      <c r="P21">
        <v>5.61686853527205</v>
      </c>
      <c r="Q21">
        <v>1.86368536786777E-3</v>
      </c>
      <c r="R21">
        <v>3.6369757608447602</v>
      </c>
      <c r="S21">
        <v>0.44754417996976997</v>
      </c>
      <c r="W21">
        <f>SUM(B21:V21)</f>
        <v>69.734836708119857</v>
      </c>
    </row>
    <row r="22" spans="1:24" x14ac:dyDescent="0.2">
      <c r="A22" t="s">
        <v>38</v>
      </c>
      <c r="B22">
        <v>0</v>
      </c>
      <c r="C22">
        <v>0</v>
      </c>
      <c r="D22">
        <v>0.86198911612227402</v>
      </c>
      <c r="E22">
        <v>2.1992051668614701</v>
      </c>
      <c r="F22">
        <v>8.5457020705418394</v>
      </c>
      <c r="G22">
        <v>10.5641599641448</v>
      </c>
      <c r="H22">
        <v>17.6206280842026</v>
      </c>
      <c r="I22">
        <v>10.297111334234399</v>
      </c>
      <c r="J22">
        <v>8.4422374456557606E-2</v>
      </c>
      <c r="K22">
        <v>4.8199178318581799</v>
      </c>
      <c r="L22">
        <v>2.6807849571522402</v>
      </c>
      <c r="M22">
        <v>0</v>
      </c>
      <c r="P22">
        <v>5.0897007741193097</v>
      </c>
      <c r="Q22">
        <v>4.8592518088940599E-2</v>
      </c>
      <c r="R22">
        <v>3.0393351586549899</v>
      </c>
      <c r="S22">
        <v>0.65438116522122203</v>
      </c>
      <c r="W22">
        <f t="shared" ref="W22:W29" si="2">SUM(B22:V22)</f>
        <v>66.505930515658818</v>
      </c>
    </row>
    <row r="23" spans="1:24" x14ac:dyDescent="0.2">
      <c r="A23" t="s">
        <v>63</v>
      </c>
      <c r="B23">
        <v>0</v>
      </c>
      <c r="C23">
        <v>0</v>
      </c>
      <c r="D23">
        <v>0.86198911612227402</v>
      </c>
      <c r="E23">
        <v>2.1997903820068001</v>
      </c>
      <c r="F23">
        <v>8.3039846738291097</v>
      </c>
      <c r="G23">
        <v>10.0694925544417</v>
      </c>
      <c r="H23">
        <v>16.783375317019399</v>
      </c>
      <c r="I23">
        <v>10.6689958134666</v>
      </c>
      <c r="J23">
        <v>8.5637163007191305E-2</v>
      </c>
      <c r="K23">
        <v>4.1950507388063603</v>
      </c>
      <c r="L23">
        <v>2.6326319114560999</v>
      </c>
      <c r="M23">
        <v>0</v>
      </c>
      <c r="N23">
        <v>2.4908229803443298</v>
      </c>
      <c r="O23">
        <v>0</v>
      </c>
      <c r="P23">
        <v>4.1862278180770902</v>
      </c>
      <c r="Q23">
        <v>1.19754176654359E-3</v>
      </c>
      <c r="R23">
        <v>3.0092173630869601</v>
      </c>
      <c r="S23">
        <v>0.52841400119205295</v>
      </c>
      <c r="T23">
        <v>0</v>
      </c>
      <c r="U23">
        <v>0.14924580875879401</v>
      </c>
      <c r="V23">
        <v>9.1699253214426405E-3</v>
      </c>
      <c r="W23">
        <f t="shared" si="2"/>
        <v>66.175243108702745</v>
      </c>
    </row>
    <row r="24" spans="1:24" x14ac:dyDescent="0.2">
      <c r="A24" t="s">
        <v>72</v>
      </c>
      <c r="B24">
        <v>0</v>
      </c>
      <c r="C24">
        <v>0</v>
      </c>
      <c r="D24">
        <v>0.86198911612227402</v>
      </c>
      <c r="E24">
        <v>2.1995014793307499</v>
      </c>
      <c r="F24">
        <v>9.6768503195687998</v>
      </c>
      <c r="G24">
        <v>9.5183523067065892</v>
      </c>
      <c r="H24">
        <v>17.2831524068588</v>
      </c>
      <c r="I24">
        <v>10.719904577053599</v>
      </c>
      <c r="J24">
        <v>8.5923422913966693E-2</v>
      </c>
      <c r="K24">
        <v>4.6181297790656402</v>
      </c>
      <c r="L24">
        <v>2.6778424700772301</v>
      </c>
      <c r="M24">
        <v>0</v>
      </c>
      <c r="N24">
        <v>2.7909551119738798</v>
      </c>
      <c r="O24">
        <v>0</v>
      </c>
      <c r="P24">
        <v>3.3565808856446799</v>
      </c>
      <c r="Q24">
        <v>7.1646176653620205E-2</v>
      </c>
      <c r="R24">
        <v>3.51988058918035</v>
      </c>
      <c r="S24">
        <v>0.225060293145108</v>
      </c>
      <c r="U24">
        <v>0.60145881587674099</v>
      </c>
      <c r="V24">
        <v>7.6719101288191998E-3</v>
      </c>
      <c r="W24">
        <f t="shared" si="2"/>
        <v>68.214899660300844</v>
      </c>
      <c r="X24">
        <f>W24/W28-1</f>
        <v>-4.4343307378551744E-2</v>
      </c>
    </row>
    <row r="25" spans="1:24" x14ac:dyDescent="0.2">
      <c r="A25" t="s">
        <v>66</v>
      </c>
      <c r="B25">
        <v>0</v>
      </c>
      <c r="C25">
        <v>0</v>
      </c>
      <c r="D25">
        <v>0.86198911612227402</v>
      </c>
      <c r="E25">
        <v>2.1994617047449001</v>
      </c>
      <c r="F25">
        <v>7.9698847847888699</v>
      </c>
      <c r="G25">
        <v>10.3681500353413</v>
      </c>
      <c r="H25">
        <v>17.190450509921799</v>
      </c>
      <c r="I25">
        <v>10.686345253074901</v>
      </c>
      <c r="J25">
        <v>8.5620715297525005E-2</v>
      </c>
      <c r="K25">
        <v>4.4067600582732496</v>
      </c>
      <c r="L25">
        <v>2.61639456942655</v>
      </c>
      <c r="M25">
        <v>0</v>
      </c>
      <c r="N25">
        <v>1.41760452468327</v>
      </c>
      <c r="O25">
        <v>0</v>
      </c>
      <c r="P25">
        <v>4.7287980306802799</v>
      </c>
      <c r="Q25">
        <v>2.0707596615123299E-3</v>
      </c>
      <c r="R25">
        <v>3.0714664153296201</v>
      </c>
      <c r="S25">
        <v>0.580401271653739</v>
      </c>
      <c r="T25">
        <v>0</v>
      </c>
      <c r="U25">
        <v>0.165322356528674</v>
      </c>
      <c r="V25">
        <v>6.6664290904968103E-3</v>
      </c>
      <c r="W25">
        <f t="shared" si="2"/>
        <v>66.357386534618968</v>
      </c>
    </row>
    <row r="26" spans="1:24" x14ac:dyDescent="0.2">
      <c r="A26" t="s">
        <v>65</v>
      </c>
      <c r="B26">
        <v>0</v>
      </c>
      <c r="C26">
        <v>0</v>
      </c>
      <c r="D26">
        <v>0.86198911612227402</v>
      </c>
      <c r="E26">
        <v>2.1995336442590099</v>
      </c>
      <c r="F26">
        <v>9.83044078158232</v>
      </c>
      <c r="G26">
        <v>9.6544517485027797</v>
      </c>
      <c r="H26">
        <v>17.426675599330501</v>
      </c>
      <c r="I26">
        <v>10.6916027536314</v>
      </c>
      <c r="J26">
        <v>8.5910097430683494E-2</v>
      </c>
      <c r="K26">
        <v>4.7015921083077998</v>
      </c>
      <c r="L26">
        <v>2.6806600235754998</v>
      </c>
      <c r="M26">
        <v>0</v>
      </c>
      <c r="N26">
        <v>2.4579375458940902</v>
      </c>
      <c r="O26">
        <v>0</v>
      </c>
      <c r="P26">
        <v>3.3236484619841802</v>
      </c>
      <c r="Q26">
        <v>0.12010189232221501</v>
      </c>
      <c r="R26">
        <v>3.53181580690012</v>
      </c>
      <c r="S26">
        <v>0.233237012755204</v>
      </c>
      <c r="T26">
        <v>0</v>
      </c>
      <c r="U26">
        <v>0.84013650667108097</v>
      </c>
      <c r="V26">
        <v>7.9545675228309097E-3</v>
      </c>
      <c r="W26">
        <f t="shared" si="2"/>
        <v>68.647687666791995</v>
      </c>
    </row>
    <row r="27" spans="1:24" x14ac:dyDescent="0.2">
      <c r="A27" t="s">
        <v>64</v>
      </c>
      <c r="B27">
        <v>0</v>
      </c>
      <c r="C27">
        <v>0</v>
      </c>
      <c r="D27">
        <v>0.86236678096785102</v>
      </c>
      <c r="E27">
        <v>2.20042667807048</v>
      </c>
      <c r="F27">
        <v>8.0327360729141208</v>
      </c>
      <c r="G27">
        <v>10.352044162285701</v>
      </c>
      <c r="H27">
        <v>17.045157712021499</v>
      </c>
      <c r="I27">
        <v>10.7383945247902</v>
      </c>
      <c r="J27">
        <v>8.5668971994602203E-2</v>
      </c>
      <c r="K27">
        <v>4.3107996173437</v>
      </c>
      <c r="L27">
        <v>2.6050887266182801</v>
      </c>
      <c r="M27">
        <v>0</v>
      </c>
      <c r="N27">
        <v>1.78974633201001</v>
      </c>
      <c r="O27" s="1">
        <v>-5.2777224501946304E-21</v>
      </c>
      <c r="P27">
        <v>4.0023631049681203</v>
      </c>
      <c r="Q27">
        <v>0</v>
      </c>
      <c r="R27">
        <v>3.0904758427141501</v>
      </c>
      <c r="S27">
        <v>0.54381256921952403</v>
      </c>
      <c r="T27">
        <v>1.38402795800015E-3</v>
      </c>
      <c r="U27">
        <v>0.208080754496037</v>
      </c>
      <c r="V27">
        <v>7.0043099020361804E-3</v>
      </c>
      <c r="W27">
        <f t="shared" si="2"/>
        <v>65.875550188274303</v>
      </c>
    </row>
    <row r="28" spans="1:24" x14ac:dyDescent="0.2">
      <c r="A28" t="s">
        <v>67</v>
      </c>
      <c r="B28">
        <v>0</v>
      </c>
      <c r="C28">
        <v>0</v>
      </c>
      <c r="D28">
        <v>0.86198911612227402</v>
      </c>
      <c r="E28">
        <v>2.1988329722643001</v>
      </c>
      <c r="F28">
        <v>10.5737617476116</v>
      </c>
      <c r="G28">
        <v>10.944287488301701</v>
      </c>
      <c r="H28">
        <v>17.464004006845901</v>
      </c>
      <c r="I28">
        <v>9.4042657610776192</v>
      </c>
      <c r="J28">
        <v>8.5662917021600907E-2</v>
      </c>
      <c r="K28">
        <v>5.0884582045799203</v>
      </c>
      <c r="L28">
        <v>2.8460047027659399</v>
      </c>
      <c r="M28">
        <v>7.3421821214689003E-4</v>
      </c>
      <c r="P28">
        <v>5.35812073916959</v>
      </c>
      <c r="Q28">
        <v>2.21784361359967</v>
      </c>
      <c r="R28">
        <v>4.04613824862549</v>
      </c>
      <c r="S28">
        <v>0.290027002155064</v>
      </c>
      <c r="W28">
        <f t="shared" si="2"/>
        <v>71.380130738352833</v>
      </c>
    </row>
    <row r="29" spans="1:24" x14ac:dyDescent="0.2">
      <c r="A29" t="s">
        <v>53</v>
      </c>
      <c r="B29">
        <v>0</v>
      </c>
      <c r="C29">
        <v>0</v>
      </c>
      <c r="D29">
        <v>0.86236678096785102</v>
      </c>
      <c r="E29">
        <v>2.2000225168307499</v>
      </c>
      <c r="F29">
        <v>8.8371429791591005</v>
      </c>
      <c r="G29">
        <v>10.664015604222801</v>
      </c>
      <c r="H29">
        <v>17.512829716088898</v>
      </c>
      <c r="I29">
        <v>9.9819116556036303</v>
      </c>
      <c r="J29">
        <v>8.4441808145851602E-2</v>
      </c>
      <c r="K29">
        <v>4.9047875931067102</v>
      </c>
      <c r="L29">
        <v>2.7420318284545999</v>
      </c>
      <c r="M29">
        <v>0</v>
      </c>
      <c r="P29">
        <v>4.5256896713519001</v>
      </c>
      <c r="Q29">
        <v>2.5878554332550999E-2</v>
      </c>
      <c r="R29">
        <v>3.0323515965397601</v>
      </c>
      <c r="S29">
        <v>0.64529103743287797</v>
      </c>
      <c r="W29">
        <f t="shared" si="2"/>
        <v>66.018761342237283</v>
      </c>
    </row>
    <row r="35" spans="1:25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37</v>
      </c>
      <c r="O35" t="s">
        <v>62</v>
      </c>
      <c r="P35" t="s">
        <v>13</v>
      </c>
      <c r="Q35" t="s">
        <v>14</v>
      </c>
      <c r="R35" t="s">
        <v>15</v>
      </c>
      <c r="S35" t="s">
        <v>27</v>
      </c>
      <c r="T35" t="s">
        <v>28</v>
      </c>
      <c r="U35" t="s">
        <v>29</v>
      </c>
      <c r="V35" t="s">
        <v>30</v>
      </c>
    </row>
    <row r="36" spans="1:25" x14ac:dyDescent="0.2">
      <c r="A36" t="s">
        <v>106</v>
      </c>
      <c r="D36">
        <v>0.86236678096785102</v>
      </c>
      <c r="E36">
        <v>2.2005401070662001</v>
      </c>
      <c r="F36">
        <v>8.1267803063095396</v>
      </c>
      <c r="G36">
        <v>10.234491466569899</v>
      </c>
      <c r="H36">
        <v>16.7129285255754</v>
      </c>
      <c r="I36">
        <v>10.9817486584838</v>
      </c>
      <c r="J36">
        <v>8.57447461168174E-2</v>
      </c>
      <c r="K36">
        <v>4.0880014821426798</v>
      </c>
      <c r="L36">
        <v>2.5633093258203998</v>
      </c>
      <c r="M36">
        <v>0</v>
      </c>
      <c r="N36">
        <v>2.4772138907255599</v>
      </c>
      <c r="O36" s="1">
        <v>8.3963409876821603E-17</v>
      </c>
      <c r="P36">
        <v>3.56903644376851</v>
      </c>
      <c r="Q36" s="1">
        <v>9.5508414540817402E-20</v>
      </c>
      <c r="R36">
        <v>3.0917807013793701</v>
      </c>
      <c r="S36">
        <v>0.49262212184283399</v>
      </c>
      <c r="T36" s="1">
        <v>9.9922278205267102E-5</v>
      </c>
      <c r="U36">
        <v>0.21782793981634099</v>
      </c>
      <c r="V36">
        <v>9.1997737776233195E-3</v>
      </c>
      <c r="W36">
        <f>SUM(B36:V36)</f>
        <v>65.713692192641034</v>
      </c>
      <c r="X36">
        <f>W36/W37-1</f>
        <v>-4.6209462794187806E-3</v>
      </c>
    </row>
    <row r="37" spans="1:25" x14ac:dyDescent="0.2">
      <c r="A37" t="s">
        <v>53</v>
      </c>
      <c r="D37">
        <v>0.86236678096785102</v>
      </c>
      <c r="E37">
        <v>2.2000225168307499</v>
      </c>
      <c r="F37">
        <v>8.8371429791591005</v>
      </c>
      <c r="G37">
        <v>10.664015604222801</v>
      </c>
      <c r="H37">
        <v>17.512829716088898</v>
      </c>
      <c r="I37">
        <v>9.9819116556036303</v>
      </c>
      <c r="J37">
        <v>8.4441808145851602E-2</v>
      </c>
      <c r="K37">
        <v>4.9047875931067102</v>
      </c>
      <c r="L37">
        <v>2.7420318284545999</v>
      </c>
      <c r="M37">
        <v>0</v>
      </c>
      <c r="P37">
        <v>4.5256896713519001</v>
      </c>
      <c r="Q37">
        <v>2.5878554332550999E-2</v>
      </c>
      <c r="R37">
        <v>3.0323515965397601</v>
      </c>
      <c r="S37">
        <v>0.64529103743287797</v>
      </c>
      <c r="W37">
        <f t="shared" ref="W37:W39" si="3">SUM(B37:V37)</f>
        <v>66.018761342237283</v>
      </c>
      <c r="X37">
        <f>W37/W39-1</f>
        <v>-5.3288650856622377E-2</v>
      </c>
      <c r="Y37">
        <f>W37/W38-1</f>
        <v>-6.0481116881200836E-2</v>
      </c>
    </row>
    <row r="38" spans="1:25" x14ac:dyDescent="0.2">
      <c r="A38" t="s">
        <v>107</v>
      </c>
      <c r="D38">
        <v>0.86236678096785102</v>
      </c>
      <c r="E38">
        <v>2.1997327940197402</v>
      </c>
      <c r="F38">
        <v>10.5934449262803</v>
      </c>
      <c r="G38">
        <v>10.7902300542841</v>
      </c>
      <c r="H38">
        <v>17.247331273257998</v>
      </c>
      <c r="I38">
        <v>9.93122839776162</v>
      </c>
      <c r="J38">
        <v>8.5705484234081794E-2</v>
      </c>
      <c r="K38">
        <v>4.7905009117339103</v>
      </c>
      <c r="L38">
        <v>2.7196679549217802</v>
      </c>
      <c r="M38">
        <v>0</v>
      </c>
      <c r="P38">
        <v>4.7753577721440301</v>
      </c>
      <c r="Q38">
        <v>2.0120988251304102</v>
      </c>
      <c r="R38">
        <v>3.9922177851943998</v>
      </c>
      <c r="S38">
        <v>0.268807247852894</v>
      </c>
      <c r="W38">
        <f>SUM(B38:V38)</f>
        <v>70.268690207783109</v>
      </c>
      <c r="X38">
        <f>W39/W38-1</f>
        <v>-7.5973167862479762E-3</v>
      </c>
    </row>
    <row r="39" spans="1:25" x14ac:dyDescent="0.2">
      <c r="A39" t="s">
        <v>22</v>
      </c>
      <c r="D39">
        <v>1.13978422169754</v>
      </c>
      <c r="E39">
        <v>2.90843650153721</v>
      </c>
      <c r="F39">
        <v>10.1687093265241</v>
      </c>
      <c r="G39">
        <v>10.1603808268033</v>
      </c>
      <c r="H39">
        <v>16.2367166294034</v>
      </c>
      <c r="I39">
        <v>10.1420487854613</v>
      </c>
      <c r="J39">
        <v>0.112381894969905</v>
      </c>
      <c r="K39">
        <v>3.0651663460694198</v>
      </c>
      <c r="L39">
        <v>4.15488650982957</v>
      </c>
      <c r="M39">
        <v>1.9430735043696601</v>
      </c>
      <c r="P39">
        <v>5.61686853527205</v>
      </c>
      <c r="Q39">
        <v>1.86368536786777E-3</v>
      </c>
      <c r="R39">
        <v>3.6369757608447602</v>
      </c>
      <c r="S39">
        <v>0.44754417996976997</v>
      </c>
      <c r="W39">
        <f t="shared" si="3"/>
        <v>69.734836708119857</v>
      </c>
      <c r="X39">
        <f>W37/W39-1</f>
        <v>-5.3288650856622377E-2</v>
      </c>
    </row>
    <row r="45" spans="1:25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37</v>
      </c>
      <c r="O45" t="s">
        <v>62</v>
      </c>
      <c r="P45" t="s">
        <v>13</v>
      </c>
      <c r="Q45" t="s">
        <v>14</v>
      </c>
      <c r="R45" t="s">
        <v>15</v>
      </c>
      <c r="S45" t="s">
        <v>27</v>
      </c>
      <c r="T45" t="s">
        <v>28</v>
      </c>
      <c r="U45" t="s">
        <v>29</v>
      </c>
      <c r="V45" t="s">
        <v>30</v>
      </c>
    </row>
    <row r="46" spans="1:25" x14ac:dyDescent="0.2">
      <c r="A46" t="s">
        <v>114</v>
      </c>
      <c r="B46">
        <v>0</v>
      </c>
      <c r="C46">
        <v>0</v>
      </c>
      <c r="D46">
        <v>0.86236678096785102</v>
      </c>
      <c r="E46">
        <v>2.1999734248229301</v>
      </c>
      <c r="F46">
        <v>8.6012409738702509</v>
      </c>
      <c r="G46">
        <v>10.9115782616365</v>
      </c>
      <c r="H46">
        <v>17.420384466988502</v>
      </c>
      <c r="I46">
        <v>9.8824398630036701</v>
      </c>
      <c r="J46">
        <v>8.4613453429657703E-2</v>
      </c>
      <c r="K46">
        <v>4.8726918253398397</v>
      </c>
      <c r="L46">
        <v>2.7582355027426799</v>
      </c>
      <c r="M46">
        <v>0</v>
      </c>
      <c r="P46">
        <v>4.5429454534162499</v>
      </c>
      <c r="Q46">
        <v>5.9626352321145298E-3</v>
      </c>
      <c r="R46">
        <v>3.09589197675189</v>
      </c>
      <c r="S46">
        <v>0.478446927730939</v>
      </c>
      <c r="W46">
        <f>SUM(B46:V46)</f>
        <v>65.716771545933085</v>
      </c>
      <c r="X46">
        <f>W46/W47-1</f>
        <v>-4.574302670398489E-3</v>
      </c>
      <c r="Y46">
        <f>S46/W46</f>
        <v>7.2804387141344271E-3</v>
      </c>
    </row>
    <row r="47" spans="1:25" x14ac:dyDescent="0.2">
      <c r="A47" t="s">
        <v>53</v>
      </c>
      <c r="B47">
        <v>0</v>
      </c>
      <c r="C47">
        <v>0</v>
      </c>
      <c r="D47">
        <v>0.86236678096785102</v>
      </c>
      <c r="E47">
        <v>2.2000225168307499</v>
      </c>
      <c r="F47">
        <v>8.8371429791591005</v>
      </c>
      <c r="G47">
        <v>10.664015604222801</v>
      </c>
      <c r="H47">
        <v>17.512829716088898</v>
      </c>
      <c r="I47">
        <v>9.9819116556036303</v>
      </c>
      <c r="J47">
        <v>8.4441808145851602E-2</v>
      </c>
      <c r="K47">
        <v>4.9047875931067102</v>
      </c>
      <c r="L47">
        <v>2.7420318284545999</v>
      </c>
      <c r="M47">
        <v>0</v>
      </c>
      <c r="P47">
        <v>4.5256896713519001</v>
      </c>
      <c r="Q47">
        <v>2.5878554332550999E-2</v>
      </c>
      <c r="R47">
        <v>3.0323515965397601</v>
      </c>
      <c r="S47">
        <v>0.64529103743287797</v>
      </c>
      <c r="W47">
        <f t="shared" ref="W47:W49" si="4">SUM(B47:V47)</f>
        <v>66.018761342237283</v>
      </c>
      <c r="Y47">
        <f t="shared" ref="Y47:Y49" si="5">S47/W47</f>
        <v>9.7743584446810215E-3</v>
      </c>
    </row>
    <row r="48" spans="1:25" x14ac:dyDescent="0.2">
      <c r="A48" t="s">
        <v>115</v>
      </c>
      <c r="B48">
        <v>0</v>
      </c>
      <c r="C48">
        <v>0</v>
      </c>
      <c r="D48">
        <v>1.13978422169754</v>
      </c>
      <c r="E48">
        <v>2.9076473236136802</v>
      </c>
      <c r="F48">
        <v>9.76322223012202</v>
      </c>
      <c r="G48">
        <v>10.8082980570508</v>
      </c>
      <c r="H48">
        <v>16.086462557870401</v>
      </c>
      <c r="I48">
        <v>9.84466742476042</v>
      </c>
      <c r="J48">
        <v>0.1123125943702</v>
      </c>
      <c r="K48">
        <v>3.0743819450060901</v>
      </c>
      <c r="L48">
        <v>4.2061860629191896</v>
      </c>
      <c r="M48">
        <v>1.90131679645211</v>
      </c>
      <c r="P48">
        <v>5.6575949104833096</v>
      </c>
      <c r="Q48">
        <v>0</v>
      </c>
      <c r="R48">
        <v>3.7046872124584702</v>
      </c>
      <c r="S48">
        <v>0.25424905245745799</v>
      </c>
      <c r="W48">
        <f>SUM(B48:V48)</f>
        <v>69.460810389261681</v>
      </c>
      <c r="X48">
        <f>W48/W49-1</f>
        <v>-3.9295470068301253E-3</v>
      </c>
      <c r="Y48">
        <f t="shared" si="5"/>
        <v>3.6603237283388177E-3</v>
      </c>
    </row>
    <row r="49" spans="1:25" x14ac:dyDescent="0.2">
      <c r="A49" t="s">
        <v>22</v>
      </c>
      <c r="B49">
        <v>0</v>
      </c>
      <c r="C49">
        <v>0</v>
      </c>
      <c r="D49">
        <v>1.13978422169754</v>
      </c>
      <c r="E49">
        <v>2.90843650153721</v>
      </c>
      <c r="F49">
        <v>10.1687093265241</v>
      </c>
      <c r="G49">
        <v>10.1603808268033</v>
      </c>
      <c r="H49">
        <v>16.2367166294034</v>
      </c>
      <c r="I49">
        <v>10.1420487854613</v>
      </c>
      <c r="J49">
        <v>0.112381894969905</v>
      </c>
      <c r="K49">
        <v>3.0651663460694198</v>
      </c>
      <c r="L49">
        <v>4.15488650982957</v>
      </c>
      <c r="M49">
        <v>1.9430735043696601</v>
      </c>
      <c r="P49">
        <v>5.61686853527205</v>
      </c>
      <c r="Q49">
        <v>1.86368536786777E-3</v>
      </c>
      <c r="R49">
        <v>3.6369757608447602</v>
      </c>
      <c r="S49">
        <v>0.44754417996976997</v>
      </c>
      <c r="W49">
        <f t="shared" si="4"/>
        <v>69.734836708119857</v>
      </c>
      <c r="Y49">
        <f t="shared" si="5"/>
        <v>6.4177992105007445E-3</v>
      </c>
    </row>
    <row r="55" spans="1:25" x14ac:dyDescent="0.2">
      <c r="A55" t="s">
        <v>116</v>
      </c>
    </row>
    <row r="56" spans="1:25" x14ac:dyDescent="0.2">
      <c r="A56" t="s">
        <v>0</v>
      </c>
      <c r="B56" t="s">
        <v>27</v>
      </c>
    </row>
    <row r="57" spans="1:25" x14ac:dyDescent="0.2">
      <c r="A57" t="s">
        <v>22</v>
      </c>
      <c r="B57">
        <v>5.7503542755207799E-3</v>
      </c>
      <c r="C57">
        <f>B57*10^3</f>
        <v>5.7503542755207802</v>
      </c>
    </row>
    <row r="58" spans="1:25" x14ac:dyDescent="0.2">
      <c r="A58" t="s">
        <v>115</v>
      </c>
      <c r="B58">
        <v>3.2667660340139101E-3</v>
      </c>
      <c r="C58">
        <f t="shared" ref="C58:C61" si="6">B58*10^3</f>
        <v>3.26676603401391</v>
      </c>
    </row>
    <row r="59" spans="1:25" x14ac:dyDescent="0.2">
      <c r="A59" t="s">
        <v>114</v>
      </c>
      <c r="B59">
        <v>8.1249945874540194E-3</v>
      </c>
      <c r="C59">
        <f t="shared" si="6"/>
        <v>8.1249945874540188</v>
      </c>
    </row>
    <row r="60" spans="1:25" x14ac:dyDescent="0.2">
      <c r="A60" t="s">
        <v>53</v>
      </c>
      <c r="B60">
        <v>1.09583443483269E-2</v>
      </c>
      <c r="C60">
        <f t="shared" si="6"/>
        <v>10.9583443483269</v>
      </c>
    </row>
    <row r="61" spans="1:25" x14ac:dyDescent="0.2">
      <c r="A61" t="s">
        <v>106</v>
      </c>
      <c r="B61">
        <v>8.3657179963835693E-3</v>
      </c>
      <c r="C61">
        <f t="shared" si="6"/>
        <v>8.3657179963835695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7"/>
  <sheetViews>
    <sheetView topLeftCell="A21" workbookViewId="0">
      <selection activeCell="A55" sqref="A55:V56"/>
    </sheetView>
  </sheetViews>
  <sheetFormatPr baseColWidth="10" defaultColWidth="8.83203125" defaultRowHeight="15" x14ac:dyDescent="0.2"/>
  <cols>
    <col min="1" max="1" width="45.5" customWidth="1"/>
  </cols>
  <sheetData>
    <row r="1" spans="1:22" x14ac:dyDescent="0.2">
      <c r="A1" t="s">
        <v>33</v>
      </c>
    </row>
    <row r="2" spans="1:22" x14ac:dyDescent="0.2">
      <c r="A2" t="s">
        <v>34</v>
      </c>
    </row>
    <row r="3" spans="1:2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27</v>
      </c>
      <c r="R3" t="s">
        <v>28</v>
      </c>
      <c r="S3" t="s">
        <v>29</v>
      </c>
      <c r="T3" t="s">
        <v>30</v>
      </c>
    </row>
    <row r="4" spans="1:22" x14ac:dyDescent="0.2">
      <c r="A4" t="s">
        <v>22</v>
      </c>
      <c r="B4">
        <v>0</v>
      </c>
      <c r="C4">
        <v>0</v>
      </c>
      <c r="D4">
        <v>1.13978422169754</v>
      </c>
      <c r="E4">
        <v>2.9084365015372602</v>
      </c>
      <c r="F4">
        <v>10.1687093265241</v>
      </c>
      <c r="G4">
        <v>10.1603808268033</v>
      </c>
      <c r="H4">
        <v>16.2367166294034</v>
      </c>
      <c r="I4">
        <v>10.1420487854613</v>
      </c>
      <c r="J4">
        <v>0.112381894969906</v>
      </c>
      <c r="K4">
        <v>3.0651663460694198</v>
      </c>
      <c r="L4">
        <v>4.1548865098295904</v>
      </c>
      <c r="M4">
        <v>1.9430735043696099</v>
      </c>
      <c r="N4">
        <v>5.6168685352720598</v>
      </c>
      <c r="O4">
        <v>1.86368536786776E-3</v>
      </c>
      <c r="P4">
        <v>3.6369757608447602</v>
      </c>
      <c r="Q4">
        <v>0.44754417996977303</v>
      </c>
      <c r="U4">
        <f>SUM(B4:T4)</f>
        <v>69.734836708119872</v>
      </c>
    </row>
    <row r="5" spans="1:22" x14ac:dyDescent="0.2">
      <c r="A5" t="s">
        <v>46</v>
      </c>
      <c r="B5">
        <v>1.14211907094691</v>
      </c>
      <c r="C5">
        <v>8.7119909956362598</v>
      </c>
      <c r="D5">
        <v>1.13978422169754</v>
      </c>
      <c r="E5">
        <v>2.9060631222843698</v>
      </c>
      <c r="F5">
        <v>7.0493009409663898</v>
      </c>
      <c r="G5">
        <v>9.8726457515875001</v>
      </c>
      <c r="H5">
        <v>15.5803653694466</v>
      </c>
      <c r="I5">
        <v>9.5209354139190108</v>
      </c>
      <c r="J5">
        <v>0.113496345417892</v>
      </c>
      <c r="K5">
        <v>2.4081707064543099</v>
      </c>
      <c r="L5">
        <v>1.40625214081081</v>
      </c>
      <c r="M5">
        <v>0</v>
      </c>
      <c r="N5">
        <v>1.5809142968321399</v>
      </c>
      <c r="O5">
        <v>0</v>
      </c>
      <c r="P5">
        <v>3.4597478945137201</v>
      </c>
      <c r="Q5">
        <v>0.32812752460189798</v>
      </c>
      <c r="R5">
        <v>1.5947218095626201E-4</v>
      </c>
      <c r="S5">
        <v>1.4141039820527901</v>
      </c>
      <c r="T5">
        <v>3.3618462132626398E-2</v>
      </c>
      <c r="U5">
        <f>SUM(B5:T5)</f>
        <v>66.667795711481716</v>
      </c>
      <c r="V5">
        <f>U5/U4-1</f>
        <v>-4.398147527720575E-2</v>
      </c>
    </row>
    <row r="6" spans="1:22" x14ac:dyDescent="0.2">
      <c r="A6" t="s">
        <v>48</v>
      </c>
      <c r="D6">
        <v>1.13978422169754</v>
      </c>
      <c r="E6">
        <v>11.547863578473899</v>
      </c>
      <c r="F6">
        <v>5.8121642055817597</v>
      </c>
      <c r="G6">
        <v>9.2257145453967393</v>
      </c>
      <c r="H6">
        <v>12.362872108046</v>
      </c>
      <c r="I6">
        <v>6.2088602998422298</v>
      </c>
      <c r="J6">
        <v>0.113509345319681</v>
      </c>
      <c r="K6">
        <v>2.61738194542506</v>
      </c>
      <c r="L6">
        <v>4.4203897688373299</v>
      </c>
      <c r="M6">
        <v>0</v>
      </c>
      <c r="N6">
        <v>5.2019038456127502</v>
      </c>
      <c r="O6">
        <v>0</v>
      </c>
      <c r="P6">
        <v>2.7822236283596702</v>
      </c>
      <c r="Q6">
        <v>0.31421474231011698</v>
      </c>
      <c r="U6">
        <f>SUM(B6:T6)</f>
        <v>61.74688223490277</v>
      </c>
      <c r="V6">
        <f>U6/U4-1</f>
        <v>-0.11454754682586055</v>
      </c>
    </row>
    <row r="7" spans="1:22" x14ac:dyDescent="0.2">
      <c r="A7" t="s">
        <v>50</v>
      </c>
      <c r="B7">
        <v>5.2708656285738797</v>
      </c>
      <c r="C7">
        <v>11.973478124387199</v>
      </c>
      <c r="D7">
        <v>1.13978422169754</v>
      </c>
      <c r="E7">
        <v>2.9082534853222199</v>
      </c>
      <c r="F7">
        <v>5.33177730279297</v>
      </c>
      <c r="G7">
        <v>9.6653679836294195</v>
      </c>
      <c r="H7">
        <v>14.261896717744399</v>
      </c>
      <c r="I7">
        <v>12.012160973541601</v>
      </c>
      <c r="J7">
        <v>0.112187061679585</v>
      </c>
      <c r="P7">
        <v>3.6938937765353699</v>
      </c>
      <c r="Q7">
        <v>0</v>
      </c>
      <c r="R7">
        <v>7.7559478334763199E-4</v>
      </c>
      <c r="S7">
        <v>2.2875006458012499</v>
      </c>
      <c r="T7">
        <v>8.3909346501609999E-2</v>
      </c>
      <c r="U7">
        <f>SUM(B7:T7)</f>
        <v>68.74185086299039</v>
      </c>
      <c r="V7">
        <f>U7/U5-1</f>
        <v>3.11103003987796E-2</v>
      </c>
    </row>
    <row r="8" spans="1:22" x14ac:dyDescent="0.2">
      <c r="B8">
        <f t="shared" ref="B8:T8" si="0">B5-B4</f>
        <v>1.14211907094691</v>
      </c>
      <c r="C8">
        <f t="shared" si="0"/>
        <v>8.7119909956362598</v>
      </c>
      <c r="D8">
        <f t="shared" si="0"/>
        <v>0</v>
      </c>
      <c r="E8">
        <f t="shared" si="0"/>
        <v>-2.3733792528903841E-3</v>
      </c>
      <c r="F8">
        <f t="shared" si="0"/>
        <v>-3.1194083855577102</v>
      </c>
      <c r="G8">
        <f t="shared" si="0"/>
        <v>-0.28773507521579944</v>
      </c>
      <c r="H8">
        <f t="shared" si="0"/>
        <v>-0.65635125995679999</v>
      </c>
      <c r="I8">
        <f t="shared" si="0"/>
        <v>-0.62111337154228963</v>
      </c>
      <c r="J8">
        <f t="shared" si="0"/>
        <v>1.1144504479859985E-3</v>
      </c>
      <c r="K8">
        <f t="shared" si="0"/>
        <v>-0.65699563961510998</v>
      </c>
      <c r="L8">
        <f t="shared" si="0"/>
        <v>-2.7486343690187804</v>
      </c>
      <c r="M8">
        <f t="shared" si="0"/>
        <v>-1.9430735043696099</v>
      </c>
      <c r="N8">
        <f t="shared" si="0"/>
        <v>-4.0359542384399196</v>
      </c>
      <c r="O8">
        <f t="shared" si="0"/>
        <v>-1.86368536786776E-3</v>
      </c>
      <c r="P8">
        <f t="shared" si="0"/>
        <v>-0.17722786633104004</v>
      </c>
      <c r="Q8">
        <f t="shared" si="0"/>
        <v>-0.11941665536787505</v>
      </c>
      <c r="R8">
        <f t="shared" si="0"/>
        <v>1.5947218095626201E-4</v>
      </c>
      <c r="S8">
        <f t="shared" si="0"/>
        <v>1.4141039820527901</v>
      </c>
      <c r="T8">
        <f t="shared" si="0"/>
        <v>3.3618462132626398E-2</v>
      </c>
    </row>
    <row r="10" spans="1:22" x14ac:dyDescent="0.2">
      <c r="A10" t="s">
        <v>35</v>
      </c>
    </row>
    <row r="11" spans="1:22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29</v>
      </c>
      <c r="V11">
        <v>1</v>
      </c>
    </row>
    <row r="12" spans="1:22" x14ac:dyDescent="0.2">
      <c r="A12" t="s">
        <v>22</v>
      </c>
      <c r="B12">
        <v>0</v>
      </c>
      <c r="C12">
        <v>0</v>
      </c>
      <c r="D12">
        <v>1426.4964433708999</v>
      </c>
      <c r="E12">
        <v>905.71391999996604</v>
      </c>
      <c r="F12">
        <v>1968.9591564239799</v>
      </c>
      <c r="G12">
        <v>2417.6957418194002</v>
      </c>
      <c r="H12">
        <v>9273.1437167102795</v>
      </c>
      <c r="I12">
        <v>-472.191024062346</v>
      </c>
      <c r="J12">
        <v>-40.3897348358717</v>
      </c>
      <c r="K12">
        <v>-3138.3916794879301</v>
      </c>
      <c r="L12">
        <v>599.12632067889103</v>
      </c>
      <c r="M12" s="1">
        <v>380.57367238493902</v>
      </c>
      <c r="N12">
        <v>0</v>
      </c>
      <c r="O12">
        <v>0</v>
      </c>
      <c r="Q12">
        <f>SUM(B12:P12)</f>
        <v>13320.736533002209</v>
      </c>
      <c r="R12">
        <f>B12/Q12</f>
        <v>0</v>
      </c>
      <c r="T12">
        <f>E12/Q12</f>
        <v>6.7992780861332563E-2</v>
      </c>
      <c r="V12">
        <v>0.84</v>
      </c>
    </row>
    <row r="13" spans="1:22" x14ac:dyDescent="0.2">
      <c r="A13" t="s">
        <v>46</v>
      </c>
      <c r="B13">
        <v>118.098325769521</v>
      </c>
      <c r="C13">
        <v>535.65512056548403</v>
      </c>
      <c r="D13">
        <v>1435.3861442473301</v>
      </c>
      <c r="E13">
        <v>905.71392000001595</v>
      </c>
      <c r="F13">
        <v>1456.9239414116701</v>
      </c>
      <c r="G13">
        <v>2344.8348308581399</v>
      </c>
      <c r="H13">
        <v>9059.1287626361409</v>
      </c>
      <c r="I13">
        <v>-494.89557993971698</v>
      </c>
      <c r="J13">
        <v>-50.206472923739497</v>
      </c>
      <c r="K13">
        <v>-2481.12064272423</v>
      </c>
      <c r="L13">
        <v>676.32428107518297</v>
      </c>
      <c r="M13" s="1">
        <v>1.02038566446062E-13</v>
      </c>
      <c r="N13">
        <v>0</v>
      </c>
      <c r="O13">
        <v>0</v>
      </c>
      <c r="P13">
        <v>-190.75619712327401</v>
      </c>
      <c r="Q13">
        <f>SUM(B13:P13)</f>
        <v>13315.086433852526</v>
      </c>
      <c r="R13">
        <f>(B13+C13)/Q13</f>
        <v>4.9098700904628749E-2</v>
      </c>
      <c r="T13">
        <f>E13/Q13</f>
        <v>6.8021632792207173E-2</v>
      </c>
      <c r="V13">
        <f>0.84*0.88</f>
        <v>0.73919999999999997</v>
      </c>
    </row>
    <row r="14" spans="1:22" x14ac:dyDescent="0.2">
      <c r="A14" t="s">
        <v>48</v>
      </c>
      <c r="D14">
        <v>1436.3295431480999</v>
      </c>
      <c r="E14">
        <v>3137.2116010190298</v>
      </c>
      <c r="F14">
        <v>1250.35302284519</v>
      </c>
      <c r="G14">
        <v>2261.1215970334902</v>
      </c>
      <c r="H14">
        <v>7524.5398029423704</v>
      </c>
      <c r="I14">
        <v>-328.26636582764201</v>
      </c>
      <c r="J14">
        <v>-50.320983741744797</v>
      </c>
      <c r="K14">
        <v>-2761.9685989167201</v>
      </c>
      <c r="L14">
        <v>752.930676440664</v>
      </c>
      <c r="M14" s="1">
        <v>3.9605797357782803E-14</v>
      </c>
      <c r="N14">
        <v>0</v>
      </c>
      <c r="O14">
        <v>0</v>
      </c>
      <c r="P14" s="1"/>
      <c r="Q14">
        <f>SUM(B14:P14)</f>
        <v>13221.930294942737</v>
      </c>
      <c r="R14">
        <f>B14/Q14</f>
        <v>0</v>
      </c>
      <c r="T14">
        <f>E14/Q14</f>
        <v>0.23727334292625818</v>
      </c>
    </row>
    <row r="15" spans="1:22" x14ac:dyDescent="0.2">
      <c r="A15" t="s">
        <v>32</v>
      </c>
      <c r="B15">
        <v>2568.7371440155398</v>
      </c>
      <c r="C15">
        <v>323.76920464893402</v>
      </c>
      <c r="D15">
        <v>1438.4555155277301</v>
      </c>
      <c r="E15">
        <v>905.71391999995706</v>
      </c>
      <c r="F15">
        <v>900.61304570394202</v>
      </c>
      <c r="G15">
        <v>1816.36471712509</v>
      </c>
      <c r="H15">
        <v>6477.8066455218795</v>
      </c>
      <c r="I15">
        <v>-212.650598104371</v>
      </c>
      <c r="J15">
        <v>-56.115811611002002</v>
      </c>
      <c r="K15">
        <v>-874.56790931401895</v>
      </c>
      <c r="L15">
        <v>237.46620320736099</v>
      </c>
      <c r="M15" s="1">
        <v>-9.51872735235751E-14</v>
      </c>
      <c r="N15">
        <v>0</v>
      </c>
      <c r="O15">
        <v>0</v>
      </c>
      <c r="P15">
        <v>-252.14778913785099</v>
      </c>
      <c r="Q15">
        <f>SUM(B15:P15)</f>
        <v>13273.444287583192</v>
      </c>
      <c r="R15">
        <f>B15/Q15</f>
        <v>0.19352453578446829</v>
      </c>
    </row>
    <row r="17" spans="1:23" x14ac:dyDescent="0.2">
      <c r="A17" t="s">
        <v>36</v>
      </c>
      <c r="P17" s="1"/>
    </row>
    <row r="18" spans="1:23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15</v>
      </c>
      <c r="O18" t="s">
        <v>27</v>
      </c>
      <c r="R18" t="s">
        <v>0</v>
      </c>
      <c r="S18" t="s">
        <v>8</v>
      </c>
      <c r="T18" t="s">
        <v>9</v>
      </c>
      <c r="U18" t="s">
        <v>13</v>
      </c>
      <c r="V18" t="s">
        <v>14</v>
      </c>
    </row>
    <row r="19" spans="1:23" x14ac:dyDescent="0.2">
      <c r="A19" t="s">
        <v>22</v>
      </c>
      <c r="B19">
        <v>0</v>
      </c>
      <c r="C19">
        <v>0</v>
      </c>
      <c r="D19">
        <v>367.10700000000003</v>
      </c>
      <c r="E19">
        <v>120</v>
      </c>
      <c r="F19">
        <v>602.06899999999996</v>
      </c>
      <c r="G19">
        <v>1502.12</v>
      </c>
      <c r="H19">
        <v>5577.59</v>
      </c>
      <c r="I19">
        <v>819.71</v>
      </c>
      <c r="J19">
        <v>60.340400000000002</v>
      </c>
      <c r="K19">
        <v>946.476</v>
      </c>
      <c r="L19">
        <v>1345.55</v>
      </c>
      <c r="M19">
        <v>130.351</v>
      </c>
      <c r="N19">
        <v>4085.18</v>
      </c>
      <c r="O19">
        <v>1051.8399999999999</v>
      </c>
      <c r="R19" t="s">
        <v>22</v>
      </c>
      <c r="S19">
        <v>5.64153584568722</v>
      </c>
      <c r="T19">
        <v>0.6034043</v>
      </c>
      <c r="U19">
        <v>622.36829151210895</v>
      </c>
      <c r="V19">
        <v>8.5088504837391495E-3</v>
      </c>
    </row>
    <row r="20" spans="1:23" x14ac:dyDescent="0.2">
      <c r="A20" t="s">
        <v>46</v>
      </c>
      <c r="B20">
        <v>59.615000000000002</v>
      </c>
      <c r="C20">
        <v>1081.06</v>
      </c>
      <c r="D20">
        <v>367.10700000000003</v>
      </c>
      <c r="E20">
        <v>120</v>
      </c>
      <c r="F20">
        <v>417.375</v>
      </c>
      <c r="G20">
        <v>1459.58</v>
      </c>
      <c r="H20">
        <v>5352.24</v>
      </c>
      <c r="I20">
        <v>756.17</v>
      </c>
      <c r="J20">
        <v>60.340400000000002</v>
      </c>
      <c r="K20">
        <v>743.60599999999999</v>
      </c>
      <c r="L20">
        <v>418.358</v>
      </c>
      <c r="M20">
        <v>0</v>
      </c>
      <c r="N20">
        <v>4065.14</v>
      </c>
      <c r="O20">
        <v>841.072</v>
      </c>
      <c r="R20" t="s">
        <v>46</v>
      </c>
      <c r="S20">
        <v>5.3613436518066404</v>
      </c>
      <c r="T20">
        <v>0.6034043</v>
      </c>
      <c r="U20">
        <v>175.17072435786099</v>
      </c>
      <c r="V20">
        <v>0</v>
      </c>
    </row>
    <row r="21" spans="1:23" x14ac:dyDescent="0.2">
      <c r="A21" t="s">
        <v>48</v>
      </c>
      <c r="B21" t="s">
        <v>49</v>
      </c>
      <c r="C21" t="s">
        <v>49</v>
      </c>
      <c r="D21">
        <v>367.10700000000003</v>
      </c>
      <c r="E21">
        <v>500</v>
      </c>
      <c r="F21">
        <v>344.12700000000001</v>
      </c>
      <c r="G21">
        <v>1363.94</v>
      </c>
      <c r="H21">
        <v>4246.6899999999996</v>
      </c>
      <c r="I21">
        <v>501.80799999999999</v>
      </c>
      <c r="J21">
        <v>60.340400000000002</v>
      </c>
      <c r="K21">
        <v>808.20699999999999</v>
      </c>
      <c r="L21">
        <v>1422.5</v>
      </c>
      <c r="M21">
        <v>0</v>
      </c>
      <c r="N21">
        <v>3395.08</v>
      </c>
      <c r="O21">
        <v>824.44899999999996</v>
      </c>
      <c r="R21" t="s">
        <v>47</v>
      </c>
      <c r="S21">
        <v>5.1956670195995001</v>
      </c>
      <c r="T21">
        <v>0.6034043</v>
      </c>
      <c r="U21">
        <v>576.38878116406897</v>
      </c>
      <c r="V21">
        <v>0</v>
      </c>
    </row>
    <row r="22" spans="1:23" x14ac:dyDescent="0.2">
      <c r="A22" t="s">
        <v>32</v>
      </c>
      <c r="B22">
        <v>1099.99999999999</v>
      </c>
      <c r="C22">
        <v>909.10385754301001</v>
      </c>
      <c r="D22">
        <v>367.10657999999898</v>
      </c>
      <c r="E22">
        <v>120</v>
      </c>
      <c r="F22">
        <v>258.632930279449</v>
      </c>
      <c r="G22">
        <v>1093.10720135929</v>
      </c>
      <c r="H22">
        <v>3800.7467114726401</v>
      </c>
      <c r="I22">
        <v>313.67351518525197</v>
      </c>
      <c r="J22">
        <v>60.340429999999998</v>
      </c>
      <c r="K22">
        <v>320.30400328441698</v>
      </c>
      <c r="L22">
        <v>215.92306389499899</v>
      </c>
      <c r="M22">
        <v>0</v>
      </c>
      <c r="N22">
        <v>3394.3253322871101</v>
      </c>
      <c r="O22">
        <v>348.77187690412899</v>
      </c>
      <c r="U22">
        <f>U20/U19-1</f>
        <v>-0.71854169509139776</v>
      </c>
    </row>
    <row r="23" spans="1:23" x14ac:dyDescent="0.2">
      <c r="F23">
        <f>(F20+G20)/(F19+G19)-1</f>
        <v>-0.10799124983544728</v>
      </c>
      <c r="H23">
        <f>H20/H19-1</f>
        <v>-4.040275459472642E-2</v>
      </c>
      <c r="I23">
        <f>I20/I19-1</f>
        <v>-7.7515218796891716E-2</v>
      </c>
      <c r="K23">
        <f>K20/K19-1</f>
        <v>-0.21434246615867703</v>
      </c>
      <c r="L23">
        <f>(L20+M20)/(L19+M19)-1</f>
        <v>-0.71654060807601594</v>
      </c>
      <c r="O23">
        <f>O20/O19-1</f>
        <v>-0.2003802859750532</v>
      </c>
      <c r="U23">
        <f>U21/U19-1</f>
        <v>-7.3878298388769026E-2</v>
      </c>
    </row>
    <row r="24" spans="1:23" x14ac:dyDescent="0.2">
      <c r="F24">
        <f>(F21+G21)/(F19+G19)-1</f>
        <v>-0.18825400189811836</v>
      </c>
      <c r="H24">
        <f>H21/H19-1</f>
        <v>-0.23861560279618987</v>
      </c>
      <c r="I24">
        <f>I21/I19-1</f>
        <v>-0.38782252259945593</v>
      </c>
      <c r="K24">
        <f>K21/K19-1</f>
        <v>-0.14608822622021056</v>
      </c>
      <c r="L24">
        <f>(L21+M21)/(L19+M19)-1</f>
        <v>-3.6181966134584798E-2</v>
      </c>
      <c r="O24">
        <f>O21/O19-1</f>
        <v>-0.21618402038332829</v>
      </c>
    </row>
    <row r="27" spans="1:23" x14ac:dyDescent="0.2">
      <c r="A27" t="s">
        <v>34</v>
      </c>
    </row>
    <row r="28" spans="1:23" x14ac:dyDescent="0.2">
      <c r="A28" t="s">
        <v>0</v>
      </c>
      <c r="B28" t="s">
        <v>8</v>
      </c>
      <c r="C28" t="s">
        <v>1</v>
      </c>
      <c r="D28" t="s">
        <v>10</v>
      </c>
      <c r="E28" t="s">
        <v>12</v>
      </c>
      <c r="F28" t="s">
        <v>2</v>
      </c>
      <c r="G28" t="s">
        <v>15</v>
      </c>
      <c r="H28" t="s">
        <v>27</v>
      </c>
      <c r="I28" t="s">
        <v>11</v>
      </c>
      <c r="J28" t="s">
        <v>3</v>
      </c>
      <c r="K28" t="s">
        <v>4</v>
      </c>
      <c r="L28" t="s">
        <v>5</v>
      </c>
      <c r="M28" t="s">
        <v>9</v>
      </c>
      <c r="N28" t="s">
        <v>13</v>
      </c>
      <c r="O28" t="s">
        <v>7</v>
      </c>
      <c r="P28" t="s">
        <v>14</v>
      </c>
      <c r="Q28" t="s">
        <v>6</v>
      </c>
      <c r="R28" t="s">
        <v>30</v>
      </c>
      <c r="S28" t="s">
        <v>28</v>
      </c>
      <c r="T28" t="s">
        <v>29</v>
      </c>
      <c r="U28">
        <v>83.65889448861445</v>
      </c>
    </row>
    <row r="29" spans="1:23" x14ac:dyDescent="0.2">
      <c r="A29" t="s">
        <v>31</v>
      </c>
      <c r="B29">
        <v>1.1717675917305601</v>
      </c>
      <c r="C29">
        <v>13.100094546637299</v>
      </c>
      <c r="D29">
        <v>9.3006597532980906E-2</v>
      </c>
      <c r="E29">
        <v>0</v>
      </c>
      <c r="F29">
        <v>11.851004477485199</v>
      </c>
      <c r="G29">
        <v>2.2632375960543101</v>
      </c>
      <c r="H29">
        <v>1.1661039892286101E-2</v>
      </c>
      <c r="I29">
        <v>5.60986772366368E-2</v>
      </c>
      <c r="J29">
        <v>1.13978422169754</v>
      </c>
      <c r="K29">
        <v>2.9084575632318002</v>
      </c>
      <c r="L29">
        <v>2.15499127482604</v>
      </c>
      <c r="M29">
        <v>0.114092339431226</v>
      </c>
      <c r="N29">
        <v>2.4959255920612201E-2</v>
      </c>
      <c r="O29">
        <v>7.89477751804609</v>
      </c>
      <c r="P29">
        <v>0</v>
      </c>
      <c r="Q29">
        <v>5.5094399079490204</v>
      </c>
    </row>
    <row r="30" spans="1:23" x14ac:dyDescent="0.2">
      <c r="A30" t="s">
        <v>22</v>
      </c>
      <c r="B30">
        <v>10.1420487854613</v>
      </c>
      <c r="D30">
        <v>3.0651663460694198</v>
      </c>
      <c r="E30">
        <v>1.9430735043696601</v>
      </c>
      <c r="G30">
        <v>3.6369757608447602</v>
      </c>
      <c r="H30">
        <v>0.44754417996976997</v>
      </c>
      <c r="I30">
        <v>4.15488650982957</v>
      </c>
      <c r="J30">
        <v>1.13978422169754</v>
      </c>
      <c r="K30">
        <v>2.9084365015372602</v>
      </c>
      <c r="L30">
        <v>10.1687093265241</v>
      </c>
      <c r="M30">
        <v>0.112381894969905</v>
      </c>
      <c r="N30">
        <v>5.6168685352720402</v>
      </c>
      <c r="O30">
        <v>16.2367166294034</v>
      </c>
      <c r="P30">
        <v>1.86368536786777E-3</v>
      </c>
      <c r="Q30">
        <v>10.1603808268033</v>
      </c>
      <c r="U30">
        <f>SUM(B30:T30)</f>
        <v>69.7348367081199</v>
      </c>
    </row>
    <row r="31" spans="1:23" x14ac:dyDescent="0.2">
      <c r="A31" t="s">
        <v>46</v>
      </c>
      <c r="B31">
        <v>9.5209354139190108</v>
      </c>
      <c r="C31">
        <v>1.14211907094691</v>
      </c>
      <c r="D31">
        <v>2.4081707064543099</v>
      </c>
      <c r="E31">
        <v>0</v>
      </c>
      <c r="F31">
        <v>8.7119909956362598</v>
      </c>
      <c r="G31">
        <v>3.4597478945137201</v>
      </c>
      <c r="H31">
        <v>0.32812752460189798</v>
      </c>
      <c r="I31">
        <v>1.40625214081081</v>
      </c>
      <c r="J31">
        <v>1.13978422169754</v>
      </c>
      <c r="K31">
        <v>2.9060631222843698</v>
      </c>
      <c r="L31">
        <v>7.0493009409663898</v>
      </c>
      <c r="M31">
        <v>0.113496345417892</v>
      </c>
      <c r="N31">
        <v>1.5809142968321399</v>
      </c>
      <c r="O31">
        <v>15.5803653694466</v>
      </c>
      <c r="P31">
        <v>0</v>
      </c>
      <c r="Q31">
        <v>9.8726457515875001</v>
      </c>
      <c r="R31">
        <v>3.3618462132626398E-2</v>
      </c>
      <c r="S31">
        <v>1.5947218095626201E-4</v>
      </c>
      <c r="T31">
        <v>1.4141039820527901</v>
      </c>
      <c r="U31">
        <f>SUM(B31:T31)</f>
        <v>66.667795711481716</v>
      </c>
      <c r="V31">
        <f>U31/U30-1</f>
        <v>-4.3981475277206195E-2</v>
      </c>
    </row>
    <row r="32" spans="1:23" x14ac:dyDescent="0.2">
      <c r="A32" t="s">
        <v>32</v>
      </c>
      <c r="B32">
        <v>3.9331182619956899</v>
      </c>
      <c r="C32">
        <v>17.892994675418102</v>
      </c>
      <c r="D32">
        <v>1.0373060297096901</v>
      </c>
      <c r="E32">
        <v>0</v>
      </c>
      <c r="F32">
        <v>5.8392403661831302</v>
      </c>
      <c r="G32">
        <v>2.6605406622208601</v>
      </c>
      <c r="H32">
        <v>0.131676598499018</v>
      </c>
      <c r="I32">
        <v>0.69973874662150704</v>
      </c>
      <c r="J32">
        <v>1.13978422169754</v>
      </c>
      <c r="K32">
        <v>2.9083033607101201</v>
      </c>
      <c r="L32">
        <v>4.3682087578577002</v>
      </c>
      <c r="M32">
        <v>0.114167206232486</v>
      </c>
      <c r="N32">
        <v>0.438634942495923</v>
      </c>
      <c r="O32">
        <v>11.0548841639788</v>
      </c>
      <c r="P32">
        <v>0</v>
      </c>
      <c r="Q32">
        <v>7.3938067137974999</v>
      </c>
      <c r="R32">
        <v>0.202886541226835</v>
      </c>
      <c r="S32">
        <v>1.2532679907547001E-2</v>
      </c>
      <c r="T32">
        <v>1.05088990154442</v>
      </c>
      <c r="U32">
        <f>SUM(B32:T32)</f>
        <v>60.878713830096871</v>
      </c>
      <c r="V32">
        <f>U32/U30-1</f>
        <v>-0.12699711214770548</v>
      </c>
      <c r="W32">
        <f>(U32-U28)/U28</f>
        <v>-0.27229837063670315</v>
      </c>
    </row>
    <row r="33" spans="1:22" x14ac:dyDescent="0.2">
      <c r="A33" t="s">
        <v>48</v>
      </c>
      <c r="B33">
        <v>6.2088602998422298</v>
      </c>
      <c r="D33">
        <v>2.61738194542506</v>
      </c>
      <c r="E33">
        <v>0</v>
      </c>
      <c r="G33">
        <v>2.7822236283596702</v>
      </c>
      <c r="H33">
        <v>0.31421474231011698</v>
      </c>
      <c r="I33">
        <v>4.4203897688373299</v>
      </c>
      <c r="J33">
        <v>1.13978422169754</v>
      </c>
      <c r="K33">
        <v>11.547863578473899</v>
      </c>
      <c r="L33">
        <v>5.8121642055817597</v>
      </c>
      <c r="M33">
        <v>0.113509345319681</v>
      </c>
      <c r="N33">
        <v>5.2019038456127502</v>
      </c>
      <c r="O33">
        <v>12.362872108046</v>
      </c>
      <c r="P33">
        <v>0</v>
      </c>
      <c r="Q33">
        <v>9.2257145453967393</v>
      </c>
      <c r="U33">
        <f>SUM(B33:T33)</f>
        <v>61.746882234902777</v>
      </c>
      <c r="V33">
        <f>U33/U30-1</f>
        <v>-0.11454754682586088</v>
      </c>
    </row>
    <row r="34" spans="1:22" x14ac:dyDescent="0.2">
      <c r="A34" t="s">
        <v>55</v>
      </c>
      <c r="B34">
        <v>7.5619980878672903</v>
      </c>
      <c r="D34">
        <v>2.0991205895849898</v>
      </c>
      <c r="E34">
        <v>0</v>
      </c>
      <c r="G34">
        <v>2.9045713302509601</v>
      </c>
      <c r="H34">
        <v>0.24183886247665601</v>
      </c>
      <c r="I34">
        <v>4.0462138481660297</v>
      </c>
      <c r="J34">
        <v>1.13978422169754</v>
      </c>
      <c r="K34">
        <v>13.1737442105449</v>
      </c>
      <c r="L34">
        <v>6.7646747248486196</v>
      </c>
      <c r="M34">
        <v>0.113305037826158</v>
      </c>
      <c r="N34">
        <v>6.5381591692508199</v>
      </c>
      <c r="O34">
        <v>12.082432607179999</v>
      </c>
      <c r="P34">
        <v>0</v>
      </c>
      <c r="Q34">
        <v>9.7196865866829203</v>
      </c>
      <c r="U34">
        <f t="shared" ref="U34:U36" si="1">SUM(B34:T34)</f>
        <v>66.385529276376886</v>
      </c>
      <c r="V34">
        <f>U34/U30-1</f>
        <v>-4.8029185839522093E-2</v>
      </c>
    </row>
    <row r="35" spans="1:22" x14ac:dyDescent="0.2">
      <c r="A35" t="s">
        <v>56</v>
      </c>
      <c r="B35">
        <v>5.1444984671261498</v>
      </c>
      <c r="C35">
        <v>0.14650843050722501</v>
      </c>
      <c r="D35">
        <v>2.05218204319331</v>
      </c>
      <c r="E35">
        <v>0</v>
      </c>
      <c r="F35">
        <v>7.5628066457121097</v>
      </c>
      <c r="G35">
        <v>2.62646673885952</v>
      </c>
      <c r="H35">
        <v>0.25023500056140102</v>
      </c>
      <c r="I35">
        <v>1.2804069809298799</v>
      </c>
      <c r="J35">
        <v>1.13978422169754</v>
      </c>
      <c r="K35">
        <v>11.6874320211625</v>
      </c>
      <c r="L35">
        <v>4.1885706020723701</v>
      </c>
      <c r="M35">
        <v>0.11410310103931599</v>
      </c>
      <c r="N35">
        <v>1.44770777208922</v>
      </c>
      <c r="O35">
        <v>11.500521701079601</v>
      </c>
      <c r="P35">
        <v>0</v>
      </c>
      <c r="Q35">
        <v>9.0150602342724202</v>
      </c>
      <c r="R35">
        <v>0</v>
      </c>
      <c r="S35">
        <v>0</v>
      </c>
      <c r="T35">
        <v>1.1540252674212901</v>
      </c>
      <c r="U35">
        <f t="shared" si="1"/>
        <v>59.310309227723842</v>
      </c>
      <c r="V35">
        <f>U35/U30-1</f>
        <v>-0.14948808905982902</v>
      </c>
    </row>
    <row r="36" spans="1:22" x14ac:dyDescent="0.2">
      <c r="A36" t="s">
        <v>57</v>
      </c>
      <c r="B36" s="1">
        <v>9.9514419669109205E-21</v>
      </c>
      <c r="D36">
        <v>0.377506160975079</v>
      </c>
      <c r="E36">
        <v>0</v>
      </c>
      <c r="G36">
        <v>0.563587853050596</v>
      </c>
      <c r="H36">
        <v>2.6821066338390601E-2</v>
      </c>
      <c r="I36">
        <v>2.59099186013772</v>
      </c>
      <c r="J36">
        <v>1.13978422169754</v>
      </c>
      <c r="K36">
        <v>37.926677273119502</v>
      </c>
      <c r="L36">
        <v>0</v>
      </c>
      <c r="M36">
        <v>0.111648181170192</v>
      </c>
      <c r="N36">
        <v>1.6932467554711701</v>
      </c>
      <c r="O36">
        <v>3.6243371099803201</v>
      </c>
      <c r="P36">
        <v>0</v>
      </c>
      <c r="Q36">
        <v>0.87201699172334501</v>
      </c>
      <c r="U36">
        <f t="shared" si="1"/>
        <v>48.926617473663846</v>
      </c>
      <c r="V36">
        <f>U36/U30-1</f>
        <v>-0.29839059237422938</v>
      </c>
    </row>
    <row r="39" spans="1:22" x14ac:dyDescent="0.2">
      <c r="A39" t="s">
        <v>61</v>
      </c>
    </row>
    <row r="40" spans="1:22" x14ac:dyDescent="0.2">
      <c r="A40" t="s">
        <v>0</v>
      </c>
      <c r="B40" t="s">
        <v>8</v>
      </c>
      <c r="C40" t="s">
        <v>1</v>
      </c>
      <c r="D40" t="s">
        <v>10</v>
      </c>
      <c r="E40" t="s">
        <v>12</v>
      </c>
      <c r="F40" t="s">
        <v>2</v>
      </c>
      <c r="G40" t="s">
        <v>11</v>
      </c>
      <c r="H40" t="s">
        <v>3</v>
      </c>
      <c r="I40" t="s">
        <v>4</v>
      </c>
      <c r="J40" t="s">
        <v>5</v>
      </c>
      <c r="K40" t="s">
        <v>9</v>
      </c>
      <c r="L40" t="s">
        <v>13</v>
      </c>
      <c r="M40" t="s">
        <v>7</v>
      </c>
      <c r="N40" t="s">
        <v>14</v>
      </c>
      <c r="O40" t="s">
        <v>6</v>
      </c>
      <c r="P40" t="s">
        <v>58</v>
      </c>
      <c r="Q40" t="s">
        <v>59</v>
      </c>
      <c r="R40" t="s">
        <v>60</v>
      </c>
      <c r="S40" t="s">
        <v>29</v>
      </c>
    </row>
    <row r="41" spans="1:22" x14ac:dyDescent="0.2">
      <c r="A41" t="s">
        <v>31</v>
      </c>
      <c r="B41">
        <v>0.65239135569991802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0.6034043</v>
      </c>
      <c r="L41">
        <v>2.7655711304577402</v>
      </c>
      <c r="M41">
        <v>0</v>
      </c>
      <c r="N41">
        <v>0</v>
      </c>
      <c r="O41">
        <v>0</v>
      </c>
    </row>
    <row r="42" spans="1:22" x14ac:dyDescent="0.2">
      <c r="A42" t="s">
        <v>22</v>
      </c>
      <c r="B42">
        <v>5.64153584568722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0.6034043</v>
      </c>
      <c r="L42">
        <v>622.36829151210702</v>
      </c>
      <c r="M42">
        <v>0</v>
      </c>
      <c r="N42">
        <v>8.5088504837391599E-3</v>
      </c>
      <c r="O42">
        <v>0</v>
      </c>
    </row>
    <row r="43" spans="1:22" x14ac:dyDescent="0.2">
      <c r="A43" t="s">
        <v>46</v>
      </c>
      <c r="B43">
        <v>5.3613436518066404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0.6034043</v>
      </c>
      <c r="L43">
        <v>175.17072435786099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2" x14ac:dyDescent="0.2">
      <c r="A44" t="s">
        <v>32</v>
      </c>
      <c r="B44">
        <v>2.2070868588675601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0.6034043</v>
      </c>
      <c r="L44">
        <v>48.602255517357698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22" x14ac:dyDescent="0.2">
      <c r="A45" t="s">
        <v>48</v>
      </c>
      <c r="B45">
        <v>3.4497722096588901</v>
      </c>
      <c r="D45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0.6034043</v>
      </c>
      <c r="L45">
        <v>576.38878116406897</v>
      </c>
      <c r="M45">
        <v>0</v>
      </c>
      <c r="N45">
        <v>0</v>
      </c>
      <c r="O45">
        <v>0</v>
      </c>
    </row>
    <row r="46" spans="1:22" x14ac:dyDescent="0.2">
      <c r="A46" t="s">
        <v>55</v>
      </c>
      <c r="B46">
        <v>4.1992292028811997</v>
      </c>
      <c r="D46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0.6034043</v>
      </c>
      <c r="L46">
        <v>485.49559117913299</v>
      </c>
      <c r="M46">
        <v>0</v>
      </c>
      <c r="N46">
        <v>0</v>
      </c>
      <c r="O46">
        <v>0</v>
      </c>
    </row>
    <row r="47" spans="1:22" x14ac:dyDescent="0.2">
      <c r="A47" t="s">
        <v>56</v>
      </c>
      <c r="B47">
        <v>2.8983061054861001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0.6034043</v>
      </c>
      <c r="L47">
        <v>160.41098470899601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22" x14ac:dyDescent="0.2">
      <c r="A48" t="s">
        <v>57</v>
      </c>
      <c r="B48">
        <v>0</v>
      </c>
      <c r="D48">
        <v>0</v>
      </c>
      <c r="E48">
        <v>0</v>
      </c>
      <c r="G48">
        <v>0</v>
      </c>
      <c r="H48">
        <v>0</v>
      </c>
      <c r="I48">
        <v>0</v>
      </c>
      <c r="J48">
        <v>0</v>
      </c>
      <c r="K48">
        <v>0.6034043</v>
      </c>
      <c r="L48">
        <v>187.617545914304</v>
      </c>
      <c r="M48">
        <v>0</v>
      </c>
      <c r="N48">
        <v>0</v>
      </c>
      <c r="O48">
        <v>0</v>
      </c>
    </row>
    <row r="53" spans="1:23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27</v>
      </c>
      <c r="R53" t="s">
        <v>28</v>
      </c>
      <c r="S53" t="s">
        <v>29</v>
      </c>
      <c r="T53" t="s">
        <v>30</v>
      </c>
      <c r="U53" t="s">
        <v>69</v>
      </c>
    </row>
    <row r="54" spans="1:23" x14ac:dyDescent="0.2">
      <c r="A54" t="s">
        <v>22</v>
      </c>
      <c r="D54">
        <v>1.13978422169754</v>
      </c>
      <c r="E54">
        <v>2.90843650153721</v>
      </c>
      <c r="F54">
        <v>10.1687093265241</v>
      </c>
      <c r="G54">
        <v>10.1603808268033</v>
      </c>
      <c r="H54">
        <v>16.2367166294034</v>
      </c>
      <c r="I54">
        <v>10.1420487854613</v>
      </c>
      <c r="J54">
        <v>0.112381894969905</v>
      </c>
      <c r="K54">
        <v>3.0651663460694198</v>
      </c>
      <c r="L54">
        <v>4.15488650982957</v>
      </c>
      <c r="M54">
        <v>1.9430735043696601</v>
      </c>
      <c r="N54">
        <v>5.61686853527205</v>
      </c>
      <c r="O54">
        <v>1.86368536786777E-3</v>
      </c>
      <c r="P54">
        <v>3.6369757608447602</v>
      </c>
      <c r="Q54">
        <v>0.44754417996976997</v>
      </c>
      <c r="V54">
        <f>SUM(B54:U54)</f>
        <v>69.734836708119857</v>
      </c>
    </row>
    <row r="55" spans="1:23" x14ac:dyDescent="0.2">
      <c r="A55" t="s">
        <v>70</v>
      </c>
      <c r="B55">
        <v>13.866662260885001</v>
      </c>
      <c r="C55">
        <v>4.4450409095054297</v>
      </c>
      <c r="D55">
        <v>1.13978422169754</v>
      </c>
      <c r="E55">
        <v>2.9085744262501998</v>
      </c>
      <c r="F55">
        <v>4.7802599328016404</v>
      </c>
      <c r="G55">
        <v>9.1866048725143301</v>
      </c>
      <c r="H55">
        <v>12.526525096863001</v>
      </c>
      <c r="I55">
        <v>6.1224731460750004</v>
      </c>
      <c r="J55">
        <v>0.11413689130179699</v>
      </c>
      <c r="K55">
        <v>1.0574515121333601</v>
      </c>
      <c r="L55">
        <v>0.50479768232857702</v>
      </c>
      <c r="M55">
        <v>0</v>
      </c>
      <c r="N55">
        <v>0.39015168014026003</v>
      </c>
      <c r="O55">
        <v>0</v>
      </c>
      <c r="P55">
        <v>3.1132172878165898</v>
      </c>
      <c r="Q55">
        <v>0.15507639082600899</v>
      </c>
      <c r="R55">
        <v>9.6917271372493393E-3</v>
      </c>
      <c r="S55">
        <v>2.6596570335754501</v>
      </c>
      <c r="T55">
        <v>0.15390875011365501</v>
      </c>
      <c r="V55">
        <f t="shared" ref="V55:V57" si="2">SUM(B55:U55)</f>
        <v>63.134013821965098</v>
      </c>
      <c r="W55">
        <f>V55/V$54-1</f>
        <v>-9.4656031300151655E-2</v>
      </c>
    </row>
    <row r="56" spans="1:23" x14ac:dyDescent="0.2">
      <c r="A56" t="s">
        <v>71</v>
      </c>
      <c r="B56">
        <v>10.529792373858101</v>
      </c>
      <c r="C56">
        <v>4.5441066395914502</v>
      </c>
      <c r="D56">
        <v>1.13978422169754</v>
      </c>
      <c r="E56">
        <v>2.9065180521930198</v>
      </c>
      <c r="F56">
        <v>1.38934091428273</v>
      </c>
      <c r="G56">
        <v>6.3808491107883398</v>
      </c>
      <c r="H56">
        <v>8.7635311342675095</v>
      </c>
      <c r="I56">
        <v>1.4290508862231801</v>
      </c>
      <c r="J56">
        <v>0.11415402429933801</v>
      </c>
      <c r="K56">
        <v>0.14107349866205199</v>
      </c>
      <c r="L56">
        <v>0.116800782588541</v>
      </c>
      <c r="M56">
        <v>0</v>
      </c>
      <c r="N56">
        <v>4.7653284129873498E-2</v>
      </c>
      <c r="O56">
        <v>0</v>
      </c>
      <c r="P56">
        <v>2.0674418795277298</v>
      </c>
      <c r="Q56">
        <v>1.8374576492258599E-2</v>
      </c>
      <c r="R56">
        <v>0</v>
      </c>
      <c r="S56">
        <v>0</v>
      </c>
      <c r="T56">
        <v>0</v>
      </c>
      <c r="U56">
        <v>15.497589474391701</v>
      </c>
      <c r="V56">
        <f t="shared" si="2"/>
        <v>55.086060852993363</v>
      </c>
      <c r="W56">
        <f t="shared" ref="W56:W57" si="3">V56/V$54-1</f>
        <v>-0.2100639586558436</v>
      </c>
    </row>
    <row r="57" spans="1:23" x14ac:dyDescent="0.2">
      <c r="A57" t="s">
        <v>48</v>
      </c>
      <c r="D57">
        <v>1.13978422169754</v>
      </c>
      <c r="E57">
        <v>11.547863578474001</v>
      </c>
      <c r="F57">
        <v>5.8121642055817597</v>
      </c>
      <c r="G57">
        <v>9.2257145453967393</v>
      </c>
      <c r="H57">
        <v>12.362872108046</v>
      </c>
      <c r="I57">
        <v>6.2088602998422298</v>
      </c>
      <c r="J57">
        <v>0.113509345319681</v>
      </c>
      <c r="K57">
        <v>2.61738194542506</v>
      </c>
      <c r="L57">
        <v>4.4203897688373397</v>
      </c>
      <c r="M57">
        <v>0</v>
      </c>
      <c r="N57">
        <v>5.2019038456127502</v>
      </c>
      <c r="O57">
        <v>0</v>
      </c>
      <c r="P57">
        <v>2.7822236283596702</v>
      </c>
      <c r="Q57">
        <v>0.31421474231011698</v>
      </c>
      <c r="V57">
        <f t="shared" si="2"/>
        <v>61.746882234902884</v>
      </c>
      <c r="W57">
        <f t="shared" si="3"/>
        <v>-0.11454754682585877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BA56-A8E9-6545-9217-E875F8D4E4C5}">
  <dimension ref="A1:AC270"/>
  <sheetViews>
    <sheetView tabSelected="1" topLeftCell="H27" workbookViewId="0">
      <selection activeCell="X63" sqref="X63"/>
    </sheetView>
  </sheetViews>
  <sheetFormatPr baseColWidth="10" defaultRowHeight="15" x14ac:dyDescent="0.2"/>
  <cols>
    <col min="1" max="1" width="37.1640625" customWidth="1"/>
  </cols>
  <sheetData>
    <row r="1" spans="1:16" x14ac:dyDescent="0.2">
      <c r="A1" t="s">
        <v>104</v>
      </c>
      <c r="B1" t="s">
        <v>73</v>
      </c>
      <c r="C1" t="s">
        <v>8</v>
      </c>
      <c r="D1" t="s">
        <v>10</v>
      </c>
      <c r="E1" t="s">
        <v>12</v>
      </c>
      <c r="F1" t="s">
        <v>11</v>
      </c>
      <c r="G1" t="s">
        <v>3</v>
      </c>
      <c r="H1" t="s">
        <v>4</v>
      </c>
      <c r="I1" t="s">
        <v>5</v>
      </c>
      <c r="J1" t="s">
        <v>9</v>
      </c>
      <c r="K1" t="s">
        <v>13</v>
      </c>
      <c r="L1" t="s">
        <v>7</v>
      </c>
      <c r="M1" t="s">
        <v>14</v>
      </c>
      <c r="N1" t="s">
        <v>6</v>
      </c>
    </row>
    <row r="2" spans="1:16" x14ac:dyDescent="0.2">
      <c r="A2">
        <v>0</v>
      </c>
      <c r="B2" t="s">
        <v>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>
        <v>3.6799999999999999E-2</v>
      </c>
      <c r="K2">
        <v>36.934099114113401</v>
      </c>
      <c r="L2">
        <v>0</v>
      </c>
      <c r="M2">
        <v>0</v>
      </c>
      <c r="N2">
        <v>0</v>
      </c>
      <c r="O2">
        <f>K2/2*10^6</f>
        <v>18467049.557056699</v>
      </c>
      <c r="P2">
        <f>_xlfn.FLOOR.MATH(O2)</f>
        <v>18467049</v>
      </c>
    </row>
    <row r="3" spans="1:16" x14ac:dyDescent="0.2">
      <c r="A3">
        <v>1</v>
      </c>
      <c r="B3" t="s">
        <v>75</v>
      </c>
      <c r="C3">
        <v>2.29186824671898E-2</v>
      </c>
      <c r="D3">
        <v>0</v>
      </c>
      <c r="E3">
        <v>0</v>
      </c>
      <c r="F3">
        <v>0</v>
      </c>
      <c r="G3">
        <v>0</v>
      </c>
      <c r="J3">
        <v>8.2199999999999999E-3</v>
      </c>
      <c r="L3">
        <v>0</v>
      </c>
      <c r="M3">
        <v>0</v>
      </c>
      <c r="N3">
        <v>0</v>
      </c>
      <c r="O3">
        <f t="shared" ref="O3:O32" si="0">K3/2*10^6</f>
        <v>0</v>
      </c>
      <c r="P3">
        <f t="shared" ref="P3:P32" si="1">_xlfn.FLOOR.MATH(O3)</f>
        <v>0</v>
      </c>
    </row>
    <row r="4" spans="1:16" x14ac:dyDescent="0.2">
      <c r="A4">
        <v>2</v>
      </c>
      <c r="B4" t="s">
        <v>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>
        <v>1.2E-2</v>
      </c>
      <c r="K4">
        <v>7.3514019119241398</v>
      </c>
      <c r="L4">
        <v>0</v>
      </c>
      <c r="M4">
        <v>0</v>
      </c>
      <c r="N4">
        <v>0</v>
      </c>
      <c r="O4">
        <f t="shared" si="0"/>
        <v>3675700.9559620698</v>
      </c>
      <c r="P4">
        <f t="shared" si="1"/>
        <v>3675700</v>
      </c>
    </row>
    <row r="5" spans="1:16" x14ac:dyDescent="0.2">
      <c r="A5">
        <v>3</v>
      </c>
      <c r="B5" t="s">
        <v>77</v>
      </c>
      <c r="C5">
        <v>0.106909244878957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1.4E-2</v>
      </c>
      <c r="L5">
        <v>0</v>
      </c>
      <c r="M5">
        <v>0</v>
      </c>
      <c r="N5">
        <v>0</v>
      </c>
      <c r="O5">
        <f t="shared" si="0"/>
        <v>0</v>
      </c>
      <c r="P5">
        <f t="shared" si="1"/>
        <v>0</v>
      </c>
    </row>
    <row r="6" spans="1:16" x14ac:dyDescent="0.2">
      <c r="A6">
        <v>4</v>
      </c>
      <c r="B6" t="s">
        <v>78</v>
      </c>
      <c r="C6">
        <v>0.352805100625248</v>
      </c>
      <c r="D6">
        <v>0</v>
      </c>
      <c r="E6">
        <v>0</v>
      </c>
      <c r="F6">
        <v>0</v>
      </c>
      <c r="G6">
        <v>0</v>
      </c>
      <c r="H6">
        <v>0</v>
      </c>
      <c r="K6">
        <v>33.851496088186401</v>
      </c>
      <c r="L6">
        <v>0</v>
      </c>
      <c r="M6">
        <v>0</v>
      </c>
      <c r="N6">
        <v>0</v>
      </c>
      <c r="O6">
        <f t="shared" si="0"/>
        <v>16925748.044093199</v>
      </c>
      <c r="P6">
        <f t="shared" si="1"/>
        <v>16925748</v>
      </c>
    </row>
    <row r="7" spans="1:16" x14ac:dyDescent="0.2">
      <c r="A7">
        <v>5</v>
      </c>
      <c r="B7" t="s">
        <v>79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0.1297075</v>
      </c>
      <c r="K7">
        <v>135.12177746159901</v>
      </c>
      <c r="L7">
        <v>0</v>
      </c>
      <c r="M7">
        <v>0</v>
      </c>
      <c r="N7">
        <v>0</v>
      </c>
      <c r="O7">
        <f t="shared" si="0"/>
        <v>67560888.730799511</v>
      </c>
      <c r="P7">
        <f t="shared" si="1"/>
        <v>67560888</v>
      </c>
    </row>
    <row r="8" spans="1:16" x14ac:dyDescent="0.2">
      <c r="A8">
        <v>6</v>
      </c>
      <c r="B8" t="s">
        <v>80</v>
      </c>
      <c r="C8">
        <v>0.28199405669677002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  <c r="N8">
        <v>0</v>
      </c>
      <c r="O8">
        <f t="shared" si="0"/>
        <v>0</v>
      </c>
      <c r="P8">
        <f t="shared" si="1"/>
        <v>0</v>
      </c>
    </row>
    <row r="9" spans="1:16" x14ac:dyDescent="0.2">
      <c r="A9">
        <v>7</v>
      </c>
      <c r="B9" t="s">
        <v>81</v>
      </c>
      <c r="C9">
        <v>0.41734649935138901</v>
      </c>
      <c r="D9">
        <v>0</v>
      </c>
      <c r="E9">
        <v>0</v>
      </c>
      <c r="F9">
        <v>0</v>
      </c>
      <c r="G9">
        <v>0</v>
      </c>
      <c r="H9">
        <v>0</v>
      </c>
      <c r="L9">
        <v>0</v>
      </c>
      <c r="M9">
        <v>0</v>
      </c>
      <c r="N9">
        <v>0</v>
      </c>
      <c r="O9">
        <f t="shared" si="0"/>
        <v>0</v>
      </c>
      <c r="P9">
        <f t="shared" si="1"/>
        <v>0</v>
      </c>
    </row>
    <row r="10" spans="1:16" x14ac:dyDescent="0.2">
      <c r="A10">
        <v>8</v>
      </c>
      <c r="B10" t="s">
        <v>82</v>
      </c>
      <c r="C10">
        <v>7.7116234711404E-3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4.0000000000000001E-3</v>
      </c>
      <c r="L10">
        <v>0</v>
      </c>
      <c r="M10">
        <v>8.5088504837391599E-3</v>
      </c>
      <c r="N10">
        <v>0</v>
      </c>
      <c r="O10">
        <f t="shared" si="0"/>
        <v>0</v>
      </c>
      <c r="P10">
        <f t="shared" si="1"/>
        <v>0</v>
      </c>
    </row>
    <row r="11" spans="1:16" x14ac:dyDescent="0.2">
      <c r="A11">
        <v>9</v>
      </c>
      <c r="B11" t="s">
        <v>83</v>
      </c>
      <c r="C11">
        <v>0.92868270710839396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8.73945E-2</v>
      </c>
      <c r="K11">
        <v>38.6510031136336</v>
      </c>
      <c r="L11">
        <v>0</v>
      </c>
      <c r="M11">
        <v>0</v>
      </c>
      <c r="N11">
        <v>0</v>
      </c>
      <c r="O11">
        <f t="shared" si="0"/>
        <v>19325501.556816801</v>
      </c>
      <c r="P11">
        <f t="shared" si="1"/>
        <v>19325501</v>
      </c>
    </row>
    <row r="12" spans="1:16" x14ac:dyDescent="0.2">
      <c r="A12">
        <v>10</v>
      </c>
      <c r="B12" t="s">
        <v>84</v>
      </c>
      <c r="C12">
        <v>8.4974602384220808E-3</v>
      </c>
      <c r="D12">
        <v>0</v>
      </c>
      <c r="E12">
        <v>0</v>
      </c>
      <c r="F12">
        <v>0</v>
      </c>
      <c r="G12">
        <v>0</v>
      </c>
      <c r="H12">
        <v>0</v>
      </c>
      <c r="J12">
        <v>1.2E-2</v>
      </c>
      <c r="L12">
        <v>0</v>
      </c>
      <c r="M12">
        <v>0</v>
      </c>
      <c r="N12">
        <v>0</v>
      </c>
      <c r="O12">
        <f t="shared" si="0"/>
        <v>0</v>
      </c>
      <c r="P12">
        <f t="shared" si="1"/>
        <v>0</v>
      </c>
    </row>
    <row r="13" spans="1:16" x14ac:dyDescent="0.2">
      <c r="A13">
        <v>11</v>
      </c>
      <c r="B13" t="s">
        <v>85</v>
      </c>
      <c r="C13">
        <v>0.48161753735638202</v>
      </c>
      <c r="D13">
        <v>0</v>
      </c>
      <c r="E13">
        <v>0</v>
      </c>
      <c r="F13">
        <v>0</v>
      </c>
      <c r="G13">
        <v>0</v>
      </c>
      <c r="H13">
        <v>0</v>
      </c>
      <c r="J13">
        <v>1.32E-2</v>
      </c>
      <c r="K13">
        <v>23.6315281093073</v>
      </c>
      <c r="L13">
        <v>0</v>
      </c>
      <c r="M13">
        <v>0</v>
      </c>
      <c r="N13">
        <v>0</v>
      </c>
      <c r="O13">
        <f t="shared" si="0"/>
        <v>11815764.05465365</v>
      </c>
      <c r="P13">
        <f t="shared" si="1"/>
        <v>11815764</v>
      </c>
    </row>
    <row r="14" spans="1:16" x14ac:dyDescent="0.2">
      <c r="A14">
        <v>12</v>
      </c>
      <c r="B14" t="s">
        <v>86</v>
      </c>
      <c r="C14">
        <v>8.6018449826879201E-2</v>
      </c>
      <c r="D14">
        <v>0</v>
      </c>
      <c r="E14">
        <v>0</v>
      </c>
      <c r="F14">
        <v>0</v>
      </c>
      <c r="G14">
        <v>0</v>
      </c>
      <c r="H14">
        <v>0</v>
      </c>
      <c r="J14">
        <v>1.38088E-2</v>
      </c>
      <c r="K14">
        <v>29.888343759159</v>
      </c>
      <c r="L14">
        <v>0</v>
      </c>
      <c r="M14">
        <v>0</v>
      </c>
      <c r="N14">
        <v>0</v>
      </c>
      <c r="O14">
        <f t="shared" si="0"/>
        <v>14944171.879579499</v>
      </c>
      <c r="P14">
        <f t="shared" si="1"/>
        <v>14944171</v>
      </c>
    </row>
    <row r="15" spans="1:16" x14ac:dyDescent="0.2">
      <c r="A15">
        <v>13</v>
      </c>
      <c r="B15" t="s">
        <v>87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K15">
        <v>46.847439965392098</v>
      </c>
      <c r="L15">
        <v>0</v>
      </c>
      <c r="M15">
        <v>0</v>
      </c>
      <c r="N15">
        <v>0</v>
      </c>
      <c r="O15">
        <f t="shared" si="0"/>
        <v>23423719.982696049</v>
      </c>
      <c r="P15">
        <f t="shared" si="1"/>
        <v>23423719</v>
      </c>
    </row>
    <row r="16" spans="1:16" x14ac:dyDescent="0.2">
      <c r="A16">
        <v>14</v>
      </c>
      <c r="B16" t="s">
        <v>105</v>
      </c>
      <c r="C16">
        <v>0.76944986732267795</v>
      </c>
      <c r="D16">
        <v>0</v>
      </c>
      <c r="E16">
        <v>0</v>
      </c>
      <c r="F16">
        <v>0</v>
      </c>
      <c r="G16">
        <v>0</v>
      </c>
      <c r="H16">
        <v>0</v>
      </c>
      <c r="J16">
        <v>1.28518E-2</v>
      </c>
      <c r="K16">
        <v>13.423951550551299</v>
      </c>
      <c r="L16">
        <v>0</v>
      </c>
      <c r="M16">
        <v>0</v>
      </c>
      <c r="N16">
        <v>0</v>
      </c>
      <c r="O16">
        <f t="shared" si="0"/>
        <v>6711975.7752756495</v>
      </c>
      <c r="P16">
        <f t="shared" si="1"/>
        <v>6711975</v>
      </c>
    </row>
    <row r="17" spans="1:16" x14ac:dyDescent="0.2">
      <c r="A17">
        <v>15</v>
      </c>
      <c r="B17" t="s">
        <v>88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3.5423999999999997E-2</v>
      </c>
      <c r="K17">
        <v>150.69982526757099</v>
      </c>
      <c r="L17">
        <v>0</v>
      </c>
      <c r="M17">
        <v>0</v>
      </c>
      <c r="N17">
        <v>0</v>
      </c>
      <c r="O17">
        <f t="shared" si="0"/>
        <v>75349912.633785486</v>
      </c>
      <c r="P17">
        <f t="shared" si="1"/>
        <v>75349912</v>
      </c>
    </row>
    <row r="18" spans="1:16" x14ac:dyDescent="0.2">
      <c r="A18">
        <v>16</v>
      </c>
      <c r="B18" t="s">
        <v>89</v>
      </c>
      <c r="C18">
        <v>0.12847920516870301</v>
      </c>
      <c r="D18">
        <v>0</v>
      </c>
      <c r="E18">
        <v>0</v>
      </c>
      <c r="F18">
        <v>0</v>
      </c>
      <c r="G18">
        <v>0</v>
      </c>
      <c r="H18">
        <v>0</v>
      </c>
      <c r="J18">
        <v>1.2E-2</v>
      </c>
      <c r="K18">
        <v>25.118462705229799</v>
      </c>
      <c r="L18">
        <v>0</v>
      </c>
      <c r="M18">
        <v>0</v>
      </c>
      <c r="N18">
        <v>0</v>
      </c>
      <c r="O18">
        <f t="shared" si="0"/>
        <v>12559231.3526149</v>
      </c>
      <c r="P18">
        <f t="shared" si="1"/>
        <v>12559231</v>
      </c>
    </row>
    <row r="19" spans="1:16" x14ac:dyDescent="0.2">
      <c r="A19">
        <v>17</v>
      </c>
      <c r="B19" t="s">
        <v>90</v>
      </c>
      <c r="C19">
        <v>4.2267017947239402E-2</v>
      </c>
      <c r="D19">
        <v>0</v>
      </c>
      <c r="E19">
        <v>0</v>
      </c>
      <c r="F19">
        <v>0</v>
      </c>
      <c r="G19">
        <v>0</v>
      </c>
      <c r="H19">
        <v>0</v>
      </c>
      <c r="J19">
        <v>1.7000000000000001E-2</v>
      </c>
      <c r="L19">
        <v>0</v>
      </c>
      <c r="M19">
        <v>0</v>
      </c>
      <c r="N19">
        <v>0</v>
      </c>
      <c r="O19">
        <f t="shared" si="0"/>
        <v>0</v>
      </c>
      <c r="P19">
        <f t="shared" si="1"/>
        <v>0</v>
      </c>
    </row>
    <row r="20" spans="1:16" x14ac:dyDescent="0.2">
      <c r="A20">
        <v>18</v>
      </c>
      <c r="B20" t="s">
        <v>91</v>
      </c>
      <c r="C20">
        <v>6.4124686791513603E-3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0.03</v>
      </c>
      <c r="L20">
        <v>0</v>
      </c>
      <c r="M20">
        <v>0</v>
      </c>
      <c r="N20">
        <v>0</v>
      </c>
      <c r="O20">
        <f t="shared" si="0"/>
        <v>0</v>
      </c>
      <c r="P20">
        <f t="shared" si="1"/>
        <v>0</v>
      </c>
    </row>
    <row r="21" spans="1:16" x14ac:dyDescent="0.2">
      <c r="A21">
        <v>19</v>
      </c>
      <c r="B21" t="s">
        <v>92</v>
      </c>
      <c r="C21">
        <v>0.30310450700671698</v>
      </c>
      <c r="D21">
        <v>0</v>
      </c>
      <c r="E21">
        <v>0</v>
      </c>
      <c r="F21">
        <v>0</v>
      </c>
      <c r="G21">
        <v>0</v>
      </c>
      <c r="H21">
        <v>0</v>
      </c>
      <c r="K21">
        <v>0.58066621310182198</v>
      </c>
      <c r="L21">
        <v>0</v>
      </c>
      <c r="M21">
        <v>0</v>
      </c>
      <c r="N21">
        <v>0</v>
      </c>
      <c r="O21">
        <f t="shared" si="0"/>
        <v>290333.10655091098</v>
      </c>
      <c r="P21">
        <f t="shared" si="1"/>
        <v>290333</v>
      </c>
    </row>
    <row r="22" spans="1:16" x14ac:dyDescent="0.2">
      <c r="A22">
        <v>20</v>
      </c>
      <c r="B22" t="s">
        <v>93</v>
      </c>
      <c r="C22">
        <v>0.13202902513347001</v>
      </c>
      <c r="D22">
        <v>0</v>
      </c>
      <c r="E22">
        <v>0</v>
      </c>
      <c r="F22">
        <v>0</v>
      </c>
      <c r="G22">
        <v>0</v>
      </c>
      <c r="H22">
        <v>0</v>
      </c>
      <c r="L22">
        <v>0</v>
      </c>
      <c r="M22">
        <v>0</v>
      </c>
      <c r="N22">
        <v>0</v>
      </c>
      <c r="O22">
        <f t="shared" si="0"/>
        <v>0</v>
      </c>
      <c r="P22">
        <f t="shared" si="1"/>
        <v>0</v>
      </c>
    </row>
    <row r="23" spans="1:16" x14ac:dyDescent="0.2">
      <c r="A23">
        <v>21</v>
      </c>
      <c r="B23" t="s">
        <v>94</v>
      </c>
      <c r="C23">
        <v>0.49509484101136098</v>
      </c>
      <c r="D23">
        <v>0</v>
      </c>
      <c r="E23">
        <v>0</v>
      </c>
      <c r="F23">
        <v>0</v>
      </c>
      <c r="G23">
        <v>0</v>
      </c>
      <c r="H23">
        <v>0</v>
      </c>
      <c r="J23">
        <v>1.4E-2</v>
      </c>
      <c r="K23">
        <v>6.5576133502520104</v>
      </c>
      <c r="L23">
        <v>0</v>
      </c>
      <c r="M23">
        <v>0</v>
      </c>
      <c r="N23">
        <v>0</v>
      </c>
      <c r="O23">
        <f t="shared" si="0"/>
        <v>3278806.6751260054</v>
      </c>
      <c r="P23">
        <f t="shared" si="1"/>
        <v>3278806</v>
      </c>
    </row>
    <row r="24" spans="1:16" x14ac:dyDescent="0.2">
      <c r="A24">
        <v>22</v>
      </c>
      <c r="B24" t="s">
        <v>95</v>
      </c>
      <c r="C24">
        <v>4.3545737678463099E-2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0.04</v>
      </c>
      <c r="K24">
        <v>64.450471548355694</v>
      </c>
      <c r="L24">
        <v>0</v>
      </c>
      <c r="M24">
        <v>0</v>
      </c>
      <c r="N24">
        <v>0</v>
      </c>
      <c r="O24">
        <f t="shared" si="0"/>
        <v>32225235.774177846</v>
      </c>
      <c r="P24">
        <f t="shared" si="1"/>
        <v>32225235</v>
      </c>
    </row>
    <row r="25" spans="1:16" x14ac:dyDescent="0.2">
      <c r="A25">
        <v>23</v>
      </c>
      <c r="B25" t="s">
        <v>96</v>
      </c>
      <c r="C25">
        <v>0</v>
      </c>
      <c r="D25">
        <v>0</v>
      </c>
      <c r="E25">
        <v>0</v>
      </c>
      <c r="F25">
        <v>0</v>
      </c>
      <c r="I25">
        <v>0</v>
      </c>
      <c r="L25">
        <v>0</v>
      </c>
      <c r="M25">
        <v>0</v>
      </c>
      <c r="N25">
        <v>0</v>
      </c>
      <c r="O25">
        <f t="shared" si="0"/>
        <v>0</v>
      </c>
      <c r="P25">
        <f t="shared" si="1"/>
        <v>0</v>
      </c>
    </row>
    <row r="26" spans="1:16" x14ac:dyDescent="0.2">
      <c r="A26">
        <v>24</v>
      </c>
      <c r="B26" t="s">
        <v>97</v>
      </c>
      <c r="C26">
        <v>0.66583700403717605</v>
      </c>
      <c r="D26">
        <v>0</v>
      </c>
      <c r="E26">
        <v>0</v>
      </c>
      <c r="F26">
        <v>0</v>
      </c>
      <c r="G26">
        <v>0</v>
      </c>
      <c r="H26">
        <v>0</v>
      </c>
      <c r="J26">
        <v>2.48518E-2</v>
      </c>
      <c r="L26">
        <v>0</v>
      </c>
      <c r="M26">
        <v>0</v>
      </c>
      <c r="N26">
        <v>0</v>
      </c>
      <c r="O26">
        <f t="shared" si="0"/>
        <v>0</v>
      </c>
      <c r="P26">
        <f t="shared" si="1"/>
        <v>0</v>
      </c>
    </row>
    <row r="27" spans="1:16" x14ac:dyDescent="0.2">
      <c r="A27">
        <v>25</v>
      </c>
      <c r="B27" t="s">
        <v>98</v>
      </c>
      <c r="C27">
        <v>0.11340923949166</v>
      </c>
      <c r="D27">
        <v>0</v>
      </c>
      <c r="E27">
        <v>0</v>
      </c>
      <c r="F27">
        <v>0</v>
      </c>
      <c r="G27">
        <v>0</v>
      </c>
      <c r="H27">
        <v>0</v>
      </c>
      <c r="J27" s="1">
        <v>2.0000000000000002E-5</v>
      </c>
      <c r="K27">
        <v>0</v>
      </c>
      <c r="L27">
        <v>0</v>
      </c>
      <c r="M27">
        <v>0</v>
      </c>
      <c r="N27">
        <v>0</v>
      </c>
      <c r="O27">
        <f t="shared" si="0"/>
        <v>0</v>
      </c>
      <c r="P27">
        <f t="shared" si="1"/>
        <v>0</v>
      </c>
    </row>
    <row r="28" spans="1:16" x14ac:dyDescent="0.2">
      <c r="A28">
        <v>26</v>
      </c>
      <c r="B28" t="s">
        <v>99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L28">
        <v>0</v>
      </c>
      <c r="M28">
        <v>0</v>
      </c>
      <c r="N28">
        <v>0</v>
      </c>
      <c r="O28">
        <f t="shared" si="0"/>
        <v>0</v>
      </c>
      <c r="P28">
        <f t="shared" si="1"/>
        <v>0</v>
      </c>
    </row>
    <row r="29" spans="1:16" x14ac:dyDescent="0.2">
      <c r="A29">
        <v>27</v>
      </c>
      <c r="B29" t="s">
        <v>100</v>
      </c>
      <c r="C29">
        <v>9.9686607179971295E-3</v>
      </c>
      <c r="D29">
        <v>0</v>
      </c>
      <c r="E29">
        <v>0</v>
      </c>
      <c r="F29">
        <v>0</v>
      </c>
      <c r="G29">
        <v>0</v>
      </c>
      <c r="H29">
        <v>0</v>
      </c>
      <c r="J29">
        <v>8.9999999999999998E-4</v>
      </c>
      <c r="L29">
        <v>0</v>
      </c>
      <c r="M29">
        <v>0</v>
      </c>
      <c r="N29">
        <v>0</v>
      </c>
      <c r="O29">
        <f t="shared" si="0"/>
        <v>0</v>
      </c>
      <c r="P29">
        <f t="shared" si="1"/>
        <v>0</v>
      </c>
    </row>
    <row r="30" spans="1:16" x14ac:dyDescent="0.2">
      <c r="A30">
        <v>28</v>
      </c>
      <c r="B30" t="s">
        <v>101</v>
      </c>
      <c r="C30">
        <v>0.23743690947182899</v>
      </c>
      <c r="D30">
        <v>0</v>
      </c>
      <c r="E30">
        <v>0</v>
      </c>
      <c r="F30">
        <v>0</v>
      </c>
      <c r="G30">
        <v>0</v>
      </c>
      <c r="H30">
        <v>0</v>
      </c>
      <c r="J30">
        <v>1.2E-2</v>
      </c>
      <c r="L30">
        <v>0</v>
      </c>
      <c r="M30">
        <v>0</v>
      </c>
      <c r="N30">
        <v>0</v>
      </c>
      <c r="O30">
        <f t="shared" si="0"/>
        <v>0</v>
      </c>
      <c r="P30">
        <f t="shared" si="1"/>
        <v>0</v>
      </c>
    </row>
    <row r="31" spans="1:16" x14ac:dyDescent="0.2">
      <c r="A31">
        <v>29</v>
      </c>
      <c r="B31" t="s">
        <v>102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K31">
        <v>9.2602113537292503</v>
      </c>
      <c r="L31">
        <v>0</v>
      </c>
      <c r="M31">
        <v>0</v>
      </c>
      <c r="N31">
        <v>0</v>
      </c>
      <c r="O31">
        <f t="shared" si="0"/>
        <v>4630105.676864625</v>
      </c>
      <c r="P31">
        <f t="shared" si="1"/>
        <v>4630105</v>
      </c>
    </row>
    <row r="32" spans="1:16" x14ac:dyDescent="0.2">
      <c r="A32">
        <v>30</v>
      </c>
      <c r="B32" t="s">
        <v>103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7.3225899999999997E-2</v>
      </c>
      <c r="L32">
        <v>0</v>
      </c>
      <c r="M32">
        <v>0</v>
      </c>
      <c r="N32">
        <v>0</v>
      </c>
      <c r="O32">
        <f t="shared" si="0"/>
        <v>0</v>
      </c>
      <c r="P32">
        <f t="shared" si="1"/>
        <v>0</v>
      </c>
    </row>
    <row r="38" spans="1:22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</row>
    <row r="39" spans="1:22" x14ac:dyDescent="0.2">
      <c r="A39" t="s">
        <v>23</v>
      </c>
      <c r="D39">
        <v>1.13978422169754</v>
      </c>
      <c r="E39">
        <v>2.9119566664644099</v>
      </c>
      <c r="F39">
        <v>10.4284914412096</v>
      </c>
      <c r="G39">
        <v>10.6602355462489</v>
      </c>
      <c r="H39">
        <v>23.184501254564999</v>
      </c>
      <c r="I39">
        <v>28.704742436873602</v>
      </c>
      <c r="J39">
        <v>0.108186469181849</v>
      </c>
      <c r="P39">
        <v>6.5209964523734998</v>
      </c>
      <c r="R39">
        <f>SUM(B39:Q39)</f>
        <v>83.658894488614393</v>
      </c>
    </row>
    <row r="40" spans="1:22" x14ac:dyDescent="0.2">
      <c r="A40" t="s">
        <v>22</v>
      </c>
      <c r="D40">
        <v>1.13978422169754</v>
      </c>
      <c r="E40">
        <v>2.90843650153721</v>
      </c>
      <c r="F40">
        <v>10.1687093265241</v>
      </c>
      <c r="G40">
        <v>10.1603808268033</v>
      </c>
      <c r="H40">
        <v>16.2367166294034</v>
      </c>
      <c r="I40">
        <v>10.1420487854613</v>
      </c>
      <c r="J40">
        <v>0.112381894969905</v>
      </c>
      <c r="K40">
        <v>3.0651663460694198</v>
      </c>
      <c r="L40">
        <v>4.15488650982957</v>
      </c>
      <c r="M40">
        <v>1.9430735043696601</v>
      </c>
      <c r="N40">
        <v>5.61686853527205</v>
      </c>
      <c r="O40">
        <v>1.86368536786777E-3</v>
      </c>
      <c r="P40">
        <v>3.6369757608447602</v>
      </c>
      <c r="Q40">
        <v>0.44754417996976997</v>
      </c>
      <c r="R40">
        <f t="shared" ref="R40:R43" si="2">SUM(B40:Q40)</f>
        <v>69.734836708119857</v>
      </c>
      <c r="S40">
        <f>R40/R$39-1</f>
        <v>-0.16643846258797435</v>
      </c>
    </row>
    <row r="41" spans="1:22" x14ac:dyDescent="0.2">
      <c r="A41" t="s">
        <v>108</v>
      </c>
      <c r="D41">
        <v>1.13978422169754</v>
      </c>
      <c r="E41">
        <v>2.9103553381434302</v>
      </c>
      <c r="F41">
        <v>14.061393640269101</v>
      </c>
      <c r="G41">
        <v>12.8609328644007</v>
      </c>
      <c r="H41">
        <v>15.0065278411428</v>
      </c>
      <c r="I41">
        <v>12.110930089861901</v>
      </c>
      <c r="J41">
        <v>0.11100402092720101</v>
      </c>
      <c r="K41">
        <v>1.84974781314536</v>
      </c>
      <c r="L41">
        <v>3.44056184344922</v>
      </c>
      <c r="M41">
        <v>1.8117233403681501</v>
      </c>
      <c r="N41">
        <v>2.80843418905603</v>
      </c>
      <c r="O41">
        <v>1.8020442440053301E-3</v>
      </c>
      <c r="P41">
        <v>3.4165525812141402</v>
      </c>
      <c r="Q41">
        <v>0.35025319106037101</v>
      </c>
      <c r="R41">
        <f t="shared" si="2"/>
        <v>71.880003018979949</v>
      </c>
      <c r="S41">
        <f t="shared" ref="S41:S43" si="3">R41/R$39-1</f>
        <v>-0.14079664262402491</v>
      </c>
    </row>
    <row r="42" spans="1:22" x14ac:dyDescent="0.2">
      <c r="A42" t="s">
        <v>109</v>
      </c>
      <c r="D42">
        <v>1.13978422169754</v>
      </c>
      <c r="E42">
        <v>2.9119272391665199</v>
      </c>
      <c r="F42">
        <v>15.1878466760544</v>
      </c>
      <c r="G42">
        <v>11.4118099728488</v>
      </c>
      <c r="H42">
        <v>17.170568853205801</v>
      </c>
      <c r="I42">
        <v>17.2985790938211</v>
      </c>
      <c r="J42">
        <v>0.10931369584284099</v>
      </c>
      <c r="K42">
        <v>0.59435183947691705</v>
      </c>
      <c r="L42">
        <v>2.0713352670930001</v>
      </c>
      <c r="M42">
        <v>2.5945199933029599</v>
      </c>
      <c r="N42">
        <v>1.4042170945280099</v>
      </c>
      <c r="O42">
        <v>1.78958122323648E-3</v>
      </c>
      <c r="P42">
        <v>3.7955097523073702</v>
      </c>
      <c r="Q42">
        <v>0.170815246743767</v>
      </c>
      <c r="R42">
        <f t="shared" si="2"/>
        <v>75.86236852731227</v>
      </c>
      <c r="S42">
        <f t="shared" si="3"/>
        <v>-9.3194226495106225E-2</v>
      </c>
    </row>
    <row r="43" spans="1:22" x14ac:dyDescent="0.2">
      <c r="A43" t="s">
        <v>18</v>
      </c>
      <c r="B43">
        <v>0</v>
      </c>
      <c r="C43">
        <v>0</v>
      </c>
      <c r="D43">
        <v>1.13978422169754</v>
      </c>
      <c r="E43">
        <v>2.91154744608358</v>
      </c>
      <c r="F43">
        <v>10.4267315486786</v>
      </c>
      <c r="G43">
        <v>11.4450853914466</v>
      </c>
      <c r="H43">
        <v>22.677662607431699</v>
      </c>
      <c r="I43">
        <v>28.143049851722999</v>
      </c>
      <c r="J43">
        <v>0.108192796610756</v>
      </c>
      <c r="K43">
        <v>3.8544330305473702E-3</v>
      </c>
      <c r="L43">
        <v>0.92751187548649605</v>
      </c>
      <c r="M43">
        <v>0</v>
      </c>
      <c r="O43">
        <v>1.6609792370790499E-3</v>
      </c>
      <c r="P43">
        <v>5.5098963605547802</v>
      </c>
      <c r="Q43">
        <v>0</v>
      </c>
      <c r="R43">
        <f t="shared" si="2"/>
        <v>83.294977511980676</v>
      </c>
      <c r="S43">
        <f t="shared" si="3"/>
        <v>-4.3500093906123638E-3</v>
      </c>
    </row>
    <row r="48" spans="1:22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12</v>
      </c>
      <c r="N48" t="s">
        <v>37</v>
      </c>
      <c r="O48" t="s">
        <v>62</v>
      </c>
      <c r="P48" t="s">
        <v>13</v>
      </c>
      <c r="Q48" t="s">
        <v>14</v>
      </c>
      <c r="R48" t="s">
        <v>15</v>
      </c>
      <c r="S48" t="s">
        <v>27</v>
      </c>
      <c r="T48" t="s">
        <v>28</v>
      </c>
      <c r="U48" t="s">
        <v>29</v>
      </c>
      <c r="V48" t="s">
        <v>30</v>
      </c>
    </row>
    <row r="49" spans="1:25" x14ac:dyDescent="0.2">
      <c r="A49" t="s">
        <v>110</v>
      </c>
      <c r="B49">
        <v>0</v>
      </c>
      <c r="C49">
        <v>0</v>
      </c>
      <c r="D49">
        <v>0.86236678096785102</v>
      </c>
      <c r="E49">
        <v>2.2024279790955301</v>
      </c>
      <c r="F49">
        <v>13.494321861980801</v>
      </c>
      <c r="G49">
        <v>13.5592630595623</v>
      </c>
      <c r="H49">
        <v>17.343401562064699</v>
      </c>
      <c r="I49">
        <v>15.0592520554955</v>
      </c>
      <c r="J49">
        <v>8.2895201435206595E-2</v>
      </c>
      <c r="K49">
        <v>3.1278232828718302</v>
      </c>
      <c r="L49">
        <v>1.3874196945875701</v>
      </c>
      <c r="M49">
        <v>0</v>
      </c>
      <c r="P49">
        <v>1.06243809357583</v>
      </c>
      <c r="Q49">
        <v>2.1587276837535599E-2</v>
      </c>
      <c r="R49">
        <v>2.9044166747989402</v>
      </c>
      <c r="S49">
        <v>0.63259753441491096</v>
      </c>
      <c r="W49">
        <f>SUM(B49:V49)</f>
        <v>71.740211057688512</v>
      </c>
    </row>
    <row r="50" spans="1:25" x14ac:dyDescent="0.2">
      <c r="A50" t="s">
        <v>111</v>
      </c>
      <c r="B50">
        <v>0</v>
      </c>
      <c r="C50">
        <v>0</v>
      </c>
      <c r="D50">
        <v>0.86198911612227402</v>
      </c>
      <c r="E50">
        <v>2.20207973211153</v>
      </c>
      <c r="F50">
        <v>14.8451975639209</v>
      </c>
      <c r="G50">
        <v>12.533762158377501</v>
      </c>
      <c r="H50">
        <v>19.322863982421701</v>
      </c>
      <c r="I50">
        <v>15.6515534378482</v>
      </c>
      <c r="J50">
        <v>8.2343524168599302E-2</v>
      </c>
      <c r="K50">
        <v>3.6541467416322702</v>
      </c>
      <c r="L50">
        <v>1.2811338656789799</v>
      </c>
      <c r="M50">
        <v>0</v>
      </c>
      <c r="P50">
        <v>1.0619728095140999</v>
      </c>
      <c r="Q50">
        <v>4.2830022069165502E-2</v>
      </c>
      <c r="R50">
        <v>2.72001186080437</v>
      </c>
      <c r="S50">
        <v>0.82646850825793905</v>
      </c>
      <c r="W50">
        <f t="shared" ref="W50:W54" si="4">SUM(B50:V50)</f>
        <v>75.08635332292755</v>
      </c>
      <c r="X50">
        <f>W49/W50-1</f>
        <v>-4.4563920301843973E-2</v>
      </c>
    </row>
    <row r="51" spans="1:25" x14ac:dyDescent="0.2">
      <c r="A51" t="s">
        <v>112</v>
      </c>
      <c r="B51">
        <v>0</v>
      </c>
      <c r="C51">
        <v>0</v>
      </c>
      <c r="D51">
        <v>0.86236678096785102</v>
      </c>
      <c r="E51">
        <v>2.1993168845649</v>
      </c>
      <c r="F51">
        <v>10.4255627356152</v>
      </c>
      <c r="G51">
        <v>13.1585646520689</v>
      </c>
      <c r="H51">
        <v>17.3794773930905</v>
      </c>
      <c r="I51">
        <v>12.6696067882476</v>
      </c>
      <c r="J51">
        <v>8.3691486047762997E-2</v>
      </c>
      <c r="K51">
        <v>3.7356259248438501</v>
      </c>
      <c r="L51">
        <v>1.99164211105002</v>
      </c>
      <c r="M51">
        <v>0</v>
      </c>
      <c r="P51">
        <v>2.1248761871516599</v>
      </c>
      <c r="Q51">
        <v>2.1171573125821699E-2</v>
      </c>
      <c r="R51">
        <v>2.7882567967160101</v>
      </c>
      <c r="S51">
        <v>0.61572683712259701</v>
      </c>
      <c r="W51">
        <f t="shared" si="4"/>
        <v>68.055886150612679</v>
      </c>
    </row>
    <row r="52" spans="1:25" x14ac:dyDescent="0.2">
      <c r="A52" t="s">
        <v>113</v>
      </c>
      <c r="B52">
        <v>0</v>
      </c>
      <c r="C52">
        <v>0</v>
      </c>
      <c r="D52">
        <v>0.86198911612227402</v>
      </c>
      <c r="E52">
        <v>2.1997210547733399</v>
      </c>
      <c r="F52">
        <v>12.293860606469501</v>
      </c>
      <c r="G52">
        <v>13.3427313109213</v>
      </c>
      <c r="H52">
        <v>17.494472929122299</v>
      </c>
      <c r="I52">
        <v>12.7606502298993</v>
      </c>
      <c r="J52">
        <v>8.3255008034475206E-2</v>
      </c>
      <c r="K52">
        <v>3.7967151171283202</v>
      </c>
      <c r="L52">
        <v>1.9156552928884401</v>
      </c>
      <c r="M52">
        <v>0</v>
      </c>
      <c r="P52">
        <v>2.12394561902821</v>
      </c>
      <c r="Q52">
        <v>4.1830014739655301E-2</v>
      </c>
      <c r="R52">
        <v>2.5609649063287998</v>
      </c>
      <c r="S52">
        <v>0.70908634893125599</v>
      </c>
      <c r="W52">
        <f t="shared" si="4"/>
        <v>70.184877554387171</v>
      </c>
      <c r="X52">
        <f>W51/W52-1</f>
        <v>-3.0334047418187904E-2</v>
      </c>
    </row>
    <row r="53" spans="1:25" x14ac:dyDescent="0.2">
      <c r="A53" t="s">
        <v>53</v>
      </c>
      <c r="B53">
        <v>0</v>
      </c>
      <c r="C53">
        <v>0</v>
      </c>
      <c r="D53">
        <v>0.86236678096785102</v>
      </c>
      <c r="E53">
        <v>2.2000225168307499</v>
      </c>
      <c r="F53">
        <v>8.8371429791591005</v>
      </c>
      <c r="G53">
        <v>10.664015604222801</v>
      </c>
      <c r="H53">
        <v>17.512829716088898</v>
      </c>
      <c r="I53">
        <v>9.9819116556036303</v>
      </c>
      <c r="J53">
        <v>8.4441808145851602E-2</v>
      </c>
      <c r="K53">
        <v>4.9047875931067102</v>
      </c>
      <c r="L53">
        <v>2.7420318284545999</v>
      </c>
      <c r="M53">
        <v>0</v>
      </c>
      <c r="P53">
        <v>4.5256896713519001</v>
      </c>
      <c r="Q53">
        <v>2.5878554332550999E-2</v>
      </c>
      <c r="R53">
        <v>3.0323515965397601</v>
      </c>
      <c r="S53">
        <v>0.64529103743287797</v>
      </c>
      <c r="W53">
        <f t="shared" si="4"/>
        <v>66.018761342237283</v>
      </c>
    </row>
    <row r="54" spans="1:25" x14ac:dyDescent="0.2">
      <c r="A54" t="s">
        <v>38</v>
      </c>
      <c r="B54">
        <v>0</v>
      </c>
      <c r="C54">
        <v>0</v>
      </c>
      <c r="D54">
        <v>0.86198911612227402</v>
      </c>
      <c r="E54">
        <v>2.1992051668614701</v>
      </c>
      <c r="F54">
        <v>8.5457020705418394</v>
      </c>
      <c r="G54">
        <v>10.5641599641448</v>
      </c>
      <c r="H54">
        <v>17.6206280842026</v>
      </c>
      <c r="I54">
        <v>10.297111334234399</v>
      </c>
      <c r="J54">
        <v>8.4422374456557606E-2</v>
      </c>
      <c r="K54">
        <v>4.8199178318581799</v>
      </c>
      <c r="L54">
        <v>2.6807849571522402</v>
      </c>
      <c r="M54">
        <v>0</v>
      </c>
      <c r="P54">
        <v>5.0897007741193097</v>
      </c>
      <c r="Q54">
        <v>4.8592518088940599E-2</v>
      </c>
      <c r="R54">
        <v>3.0393351586549899</v>
      </c>
      <c r="S54">
        <v>0.65438116522122203</v>
      </c>
      <c r="W54">
        <f t="shared" si="4"/>
        <v>66.505930515658818</v>
      </c>
      <c r="X54">
        <f>W53/W54-1</f>
        <v>-7.3251989656295535E-3</v>
      </c>
      <c r="Y54">
        <f>W54/W49-1</f>
        <v>-7.2961599427420754E-2</v>
      </c>
    </row>
    <row r="61" spans="1:25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37</v>
      </c>
      <c r="O61" t="s">
        <v>62</v>
      </c>
      <c r="P61" t="s">
        <v>13</v>
      </c>
      <c r="Q61" t="s">
        <v>14</v>
      </c>
      <c r="R61" t="s">
        <v>15</v>
      </c>
      <c r="S61" t="s">
        <v>27</v>
      </c>
      <c r="T61" t="s">
        <v>28</v>
      </c>
      <c r="U61" t="s">
        <v>29</v>
      </c>
      <c r="V61" t="s">
        <v>30</v>
      </c>
    </row>
    <row r="62" spans="1:25" x14ac:dyDescent="0.2">
      <c r="A62" t="s">
        <v>154</v>
      </c>
      <c r="B62">
        <v>0</v>
      </c>
      <c r="C62">
        <v>0</v>
      </c>
      <c r="D62">
        <v>0.86236678096785102</v>
      </c>
      <c r="E62">
        <v>2.2030563797628302</v>
      </c>
      <c r="F62">
        <v>11.4725262558406</v>
      </c>
      <c r="G62">
        <v>11.504392934611699</v>
      </c>
      <c r="H62">
        <v>23.182945193286301</v>
      </c>
      <c r="I62">
        <v>20.2080926867107</v>
      </c>
      <c r="J62">
        <v>8.1837462233278202E-2</v>
      </c>
      <c r="K62">
        <v>4.4020909623342304</v>
      </c>
      <c r="L62">
        <v>0.86140589140506696</v>
      </c>
      <c r="M62">
        <v>0</v>
      </c>
      <c r="Q62">
        <v>7.1746851845826196</v>
      </c>
      <c r="R62">
        <v>3.2097306904827798</v>
      </c>
      <c r="S62">
        <v>0.54936610002850195</v>
      </c>
      <c r="W62">
        <f>SUM(B62:V62)</f>
        <v>85.712496522246468</v>
      </c>
    </row>
    <row r="63" spans="1:25" x14ac:dyDescent="0.2">
      <c r="A63" t="s">
        <v>155</v>
      </c>
      <c r="B63">
        <v>0</v>
      </c>
      <c r="C63">
        <v>0</v>
      </c>
      <c r="D63">
        <v>0.86236678096785102</v>
      </c>
      <c r="E63">
        <v>2.2030590402861998</v>
      </c>
      <c r="F63">
        <v>13.7186399174039</v>
      </c>
      <c r="G63">
        <v>13.486486421180899</v>
      </c>
      <c r="H63">
        <v>21.397568953048498</v>
      </c>
      <c r="I63">
        <v>17.679126962052401</v>
      </c>
      <c r="J63">
        <v>8.1829619943249499E-2</v>
      </c>
      <c r="K63">
        <v>4.0081531197969396</v>
      </c>
      <c r="L63">
        <v>1.1190155522326399</v>
      </c>
      <c r="M63">
        <v>0</v>
      </c>
      <c r="Q63">
        <v>8.8016953719382691</v>
      </c>
      <c r="R63">
        <v>5.1121039205894601</v>
      </c>
      <c r="S63">
        <v>0</v>
      </c>
      <c r="W63">
        <f t="shared" ref="W63:W67" si="5">SUM(B63:V63)</f>
        <v>88.470045659440316</v>
      </c>
      <c r="X63">
        <f>W62/W63-1</f>
        <v>-3.1169297095299919E-2</v>
      </c>
    </row>
    <row r="64" spans="1:25" x14ac:dyDescent="0.2">
      <c r="A64" t="s">
        <v>53</v>
      </c>
      <c r="B64">
        <v>0</v>
      </c>
      <c r="C64">
        <v>0</v>
      </c>
      <c r="D64">
        <v>0.86236678096785102</v>
      </c>
      <c r="E64">
        <v>2.2000225168307499</v>
      </c>
      <c r="F64">
        <v>8.8371429791591005</v>
      </c>
      <c r="G64">
        <v>10.664015604222801</v>
      </c>
      <c r="H64">
        <v>17.512829716088898</v>
      </c>
      <c r="I64">
        <v>9.9819116556036303</v>
      </c>
      <c r="J64">
        <v>8.4441808145851602E-2</v>
      </c>
      <c r="K64">
        <v>4.9047875931067102</v>
      </c>
      <c r="L64">
        <v>2.7420318284545999</v>
      </c>
      <c r="M64">
        <v>0</v>
      </c>
      <c r="P64">
        <v>4.5256896713519001</v>
      </c>
      <c r="Q64">
        <v>2.5878554332550999E-2</v>
      </c>
      <c r="R64">
        <v>3.0323515965397601</v>
      </c>
      <c r="S64">
        <v>0.64529103743287797</v>
      </c>
      <c r="W64">
        <f t="shared" si="5"/>
        <v>66.018761342237283</v>
      </c>
    </row>
    <row r="65" spans="1:24" x14ac:dyDescent="0.2">
      <c r="A65" t="s">
        <v>107</v>
      </c>
      <c r="B65">
        <v>0</v>
      </c>
      <c r="C65">
        <v>0</v>
      </c>
      <c r="D65">
        <v>0.86236678096785102</v>
      </c>
      <c r="E65">
        <v>2.1997327940197402</v>
      </c>
      <c r="F65">
        <v>10.5934449262803</v>
      </c>
      <c r="G65">
        <v>10.7902300542841</v>
      </c>
      <c r="H65">
        <v>17.247331273257998</v>
      </c>
      <c r="I65">
        <v>9.93122839776162</v>
      </c>
      <c r="J65">
        <v>8.5705484234081794E-2</v>
      </c>
      <c r="K65">
        <v>4.7905009117339103</v>
      </c>
      <c r="L65">
        <v>2.7196679549217802</v>
      </c>
      <c r="M65">
        <v>0</v>
      </c>
      <c r="P65">
        <v>4.7753577721440301</v>
      </c>
      <c r="Q65">
        <v>2.0120988251304102</v>
      </c>
      <c r="R65">
        <v>3.9922177851943998</v>
      </c>
      <c r="S65">
        <v>0.268807247852894</v>
      </c>
      <c r="W65">
        <f t="shared" si="5"/>
        <v>70.268690207783109</v>
      </c>
      <c r="X65">
        <f>W64/W65-1</f>
        <v>-6.0481116881200836E-2</v>
      </c>
    </row>
    <row r="270" spans="29:29" x14ac:dyDescent="0.2">
      <c r="AC27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F027-884F-254D-9F44-5E9D9DD75ED8}">
  <dimension ref="A1:O417"/>
  <sheetViews>
    <sheetView workbookViewId="0">
      <selection activeCell="D418" sqref="D418"/>
    </sheetView>
  </sheetViews>
  <sheetFormatPr baseColWidth="10" defaultRowHeight="15" x14ac:dyDescent="0.2"/>
  <sheetData>
    <row r="1" spans="1:15" x14ac:dyDescent="0.2">
      <c r="B1" t="s">
        <v>73</v>
      </c>
      <c r="C1" t="s">
        <v>117</v>
      </c>
      <c r="D1" t="s">
        <v>118</v>
      </c>
      <c r="E1" t="s">
        <v>119</v>
      </c>
      <c r="L1" t="s">
        <v>73</v>
      </c>
      <c r="M1" t="s">
        <v>117</v>
      </c>
      <c r="N1" t="s">
        <v>118</v>
      </c>
      <c r="O1" t="s">
        <v>119</v>
      </c>
    </row>
    <row r="2" spans="1:15" x14ac:dyDescent="0.2">
      <c r="A2">
        <v>0</v>
      </c>
      <c r="B2" t="s">
        <v>74</v>
      </c>
      <c r="C2" t="s">
        <v>8</v>
      </c>
      <c r="D2">
        <v>0</v>
      </c>
      <c r="E2">
        <v>0</v>
      </c>
      <c r="K2">
        <v>7</v>
      </c>
      <c r="L2" t="s">
        <v>74</v>
      </c>
      <c r="M2" t="s">
        <v>13</v>
      </c>
      <c r="N2">
        <v>58.618203900044897</v>
      </c>
      <c r="O2">
        <v>58618.2039000449</v>
      </c>
    </row>
    <row r="3" spans="1:15" x14ac:dyDescent="0.2">
      <c r="A3">
        <v>1</v>
      </c>
      <c r="B3" t="s">
        <v>74</v>
      </c>
      <c r="C3" t="s">
        <v>10</v>
      </c>
      <c r="D3">
        <v>0</v>
      </c>
      <c r="E3">
        <v>0</v>
      </c>
      <c r="K3">
        <v>27</v>
      </c>
      <c r="L3" t="s">
        <v>76</v>
      </c>
      <c r="M3" t="s">
        <v>13</v>
      </c>
      <c r="N3">
        <v>19.906599758792002</v>
      </c>
      <c r="O3">
        <v>19906.599758791999</v>
      </c>
    </row>
    <row r="4" spans="1:15" x14ac:dyDescent="0.2">
      <c r="A4">
        <v>2</v>
      </c>
      <c r="B4" t="s">
        <v>74</v>
      </c>
      <c r="C4" t="s">
        <v>12</v>
      </c>
      <c r="D4">
        <v>0</v>
      </c>
      <c r="E4">
        <v>0</v>
      </c>
      <c r="K4">
        <v>37</v>
      </c>
      <c r="L4" t="s">
        <v>123</v>
      </c>
      <c r="M4" t="s">
        <v>13</v>
      </c>
      <c r="N4">
        <v>14.2557825005373</v>
      </c>
      <c r="O4">
        <v>14255.7825005373</v>
      </c>
    </row>
    <row r="5" spans="1:15" x14ac:dyDescent="0.2">
      <c r="A5">
        <v>3</v>
      </c>
      <c r="B5" t="s">
        <v>74</v>
      </c>
      <c r="C5" t="s">
        <v>11</v>
      </c>
      <c r="D5">
        <v>0</v>
      </c>
      <c r="E5">
        <v>97.262445246920095</v>
      </c>
      <c r="K5">
        <v>58</v>
      </c>
      <c r="L5" t="s">
        <v>78</v>
      </c>
      <c r="M5" t="s">
        <v>13</v>
      </c>
      <c r="N5">
        <v>72.076919194499794</v>
      </c>
      <c r="O5">
        <v>72076.919194499802</v>
      </c>
    </row>
    <row r="6" spans="1:15" x14ac:dyDescent="0.2">
      <c r="A6">
        <v>4</v>
      </c>
      <c r="B6" t="s">
        <v>74</v>
      </c>
      <c r="C6" t="s">
        <v>3</v>
      </c>
      <c r="D6">
        <v>0</v>
      </c>
      <c r="E6">
        <v>2.95044</v>
      </c>
      <c r="K6">
        <v>70</v>
      </c>
      <c r="L6" t="s">
        <v>79</v>
      </c>
      <c r="M6" t="s">
        <v>13</v>
      </c>
      <c r="N6">
        <v>152.64698438701399</v>
      </c>
      <c r="O6">
        <v>152646.984387014</v>
      </c>
    </row>
    <row r="7" spans="1:15" x14ac:dyDescent="0.2">
      <c r="A7">
        <v>5</v>
      </c>
      <c r="B7" t="s">
        <v>74</v>
      </c>
      <c r="C7" t="s">
        <v>4</v>
      </c>
      <c r="D7">
        <v>0</v>
      </c>
      <c r="E7">
        <v>0</v>
      </c>
      <c r="K7">
        <v>112</v>
      </c>
      <c r="L7" t="s">
        <v>83</v>
      </c>
      <c r="M7" t="s">
        <v>13</v>
      </c>
      <c r="N7">
        <v>32.129534721773503</v>
      </c>
      <c r="O7">
        <v>32129.5347217735</v>
      </c>
    </row>
    <row r="8" spans="1:15" x14ac:dyDescent="0.2">
      <c r="A8">
        <v>6</v>
      </c>
      <c r="B8" t="s">
        <v>74</v>
      </c>
      <c r="C8" t="s">
        <v>9</v>
      </c>
      <c r="D8">
        <v>3.6799999999999999E-2</v>
      </c>
      <c r="E8">
        <v>3.68</v>
      </c>
      <c r="K8">
        <v>133</v>
      </c>
      <c r="L8" t="s">
        <v>85</v>
      </c>
      <c r="M8" t="s">
        <v>13</v>
      </c>
      <c r="N8">
        <v>28.4376066489008</v>
      </c>
      <c r="O8">
        <v>28437.606648900801</v>
      </c>
    </row>
    <row r="9" spans="1:15" x14ac:dyDescent="0.2">
      <c r="A9">
        <v>7</v>
      </c>
      <c r="B9" t="s">
        <v>74</v>
      </c>
      <c r="C9" t="s">
        <v>13</v>
      </c>
      <c r="D9">
        <v>37.551446866887403</v>
      </c>
      <c r="E9">
        <v>37551.446866887403</v>
      </c>
      <c r="F9">
        <f>D9/2*10^6</f>
        <v>18775723.433443703</v>
      </c>
      <c r="H9">
        <f>D9/4*10^6</f>
        <v>9387861.7167218514</v>
      </c>
      <c r="L9" t="s">
        <v>86</v>
      </c>
      <c r="M9" t="s">
        <v>13</v>
      </c>
      <c r="N9">
        <v>36.983710287466501</v>
      </c>
      <c r="O9">
        <v>36983.7102874665</v>
      </c>
    </row>
    <row r="10" spans="1:15" x14ac:dyDescent="0.2">
      <c r="A10">
        <v>8</v>
      </c>
      <c r="B10" t="s">
        <v>74</v>
      </c>
      <c r="C10" t="s">
        <v>7</v>
      </c>
      <c r="D10">
        <v>0</v>
      </c>
      <c r="E10">
        <v>41.899999999000002</v>
      </c>
      <c r="K10">
        <v>154</v>
      </c>
      <c r="L10" t="s">
        <v>87</v>
      </c>
      <c r="M10" t="s">
        <v>13</v>
      </c>
      <c r="N10">
        <v>28.754406943162302</v>
      </c>
      <c r="O10">
        <v>28754.406943162299</v>
      </c>
    </row>
    <row r="11" spans="1:15" x14ac:dyDescent="0.2">
      <c r="A11">
        <v>9</v>
      </c>
      <c r="B11" t="s">
        <v>74</v>
      </c>
      <c r="C11" t="s">
        <v>14</v>
      </c>
      <c r="D11">
        <v>0</v>
      </c>
      <c r="E11">
        <v>0</v>
      </c>
      <c r="K11">
        <v>166</v>
      </c>
      <c r="L11" t="s">
        <v>88</v>
      </c>
      <c r="M11" t="s">
        <v>13</v>
      </c>
      <c r="N11">
        <v>201.11461700831501</v>
      </c>
      <c r="O11">
        <v>201114.61700831499</v>
      </c>
    </row>
    <row r="12" spans="1:15" x14ac:dyDescent="0.2">
      <c r="A12">
        <v>10</v>
      </c>
      <c r="B12" t="s">
        <v>74</v>
      </c>
      <c r="C12" t="s">
        <v>6</v>
      </c>
      <c r="D12">
        <v>0</v>
      </c>
      <c r="E12">
        <v>23.478000000000002</v>
      </c>
      <c r="K12">
        <v>177</v>
      </c>
      <c r="L12" t="s">
        <v>89</v>
      </c>
      <c r="M12" t="s">
        <v>13</v>
      </c>
      <c r="N12">
        <v>31.532848642418202</v>
      </c>
      <c r="O12">
        <v>31532.848642418201</v>
      </c>
    </row>
    <row r="13" spans="1:15" x14ac:dyDescent="0.2">
      <c r="A13">
        <v>11</v>
      </c>
      <c r="B13" t="s">
        <v>120</v>
      </c>
      <c r="C13" t="s">
        <v>10</v>
      </c>
      <c r="D13">
        <v>0</v>
      </c>
      <c r="E13">
        <v>44.251332404649602</v>
      </c>
      <c r="K13">
        <v>208</v>
      </c>
      <c r="L13" t="s">
        <v>92</v>
      </c>
      <c r="M13" t="s">
        <v>13</v>
      </c>
      <c r="N13">
        <v>1.45925415460189</v>
      </c>
      <c r="O13">
        <v>1459.2541546018899</v>
      </c>
    </row>
    <row r="14" spans="1:15" x14ac:dyDescent="0.2">
      <c r="A14">
        <v>12</v>
      </c>
      <c r="B14" t="s">
        <v>120</v>
      </c>
      <c r="C14" t="s">
        <v>13</v>
      </c>
      <c r="D14">
        <v>21.224327144950799</v>
      </c>
      <c r="E14">
        <v>21224.327144950799</v>
      </c>
      <c r="F14">
        <f>D14/2*10^6</f>
        <v>10612163.5724754</v>
      </c>
      <c r="H14">
        <f>D14/4*10^6</f>
        <v>5306081.7862376999</v>
      </c>
      <c r="L14" t="s">
        <v>94</v>
      </c>
      <c r="M14" t="s">
        <v>13</v>
      </c>
      <c r="N14">
        <v>1.72650727208096</v>
      </c>
      <c r="O14">
        <v>1726.5072720809601</v>
      </c>
    </row>
    <row r="15" spans="1:15" x14ac:dyDescent="0.2">
      <c r="A15">
        <v>13</v>
      </c>
      <c r="B15" t="s">
        <v>120</v>
      </c>
      <c r="C15" t="s">
        <v>14</v>
      </c>
      <c r="D15">
        <v>0</v>
      </c>
      <c r="E15">
        <v>0</v>
      </c>
      <c r="K15">
        <v>240</v>
      </c>
      <c r="L15" t="s">
        <v>95</v>
      </c>
      <c r="M15" t="s">
        <v>13</v>
      </c>
      <c r="N15">
        <v>46.707402536418797</v>
      </c>
      <c r="O15">
        <v>46707.402536418798</v>
      </c>
    </row>
    <row r="16" spans="1:15" x14ac:dyDescent="0.2">
      <c r="A16">
        <v>14</v>
      </c>
      <c r="B16" t="s">
        <v>75</v>
      </c>
      <c r="C16" t="s">
        <v>8</v>
      </c>
      <c r="D16">
        <v>0.28657923785782102</v>
      </c>
      <c r="E16">
        <v>43.2455308537631</v>
      </c>
      <c r="K16">
        <v>269</v>
      </c>
      <c r="L16" t="s">
        <v>98</v>
      </c>
      <c r="M16" t="s">
        <v>13</v>
      </c>
      <c r="N16">
        <v>4.1234242267384396</v>
      </c>
      <c r="O16">
        <v>4123.4242267384398</v>
      </c>
    </row>
    <row r="17" spans="1:15" x14ac:dyDescent="0.2">
      <c r="A17">
        <v>15</v>
      </c>
      <c r="B17" t="s">
        <v>75</v>
      </c>
      <c r="C17" t="s">
        <v>10</v>
      </c>
      <c r="D17">
        <v>0</v>
      </c>
      <c r="E17">
        <v>0</v>
      </c>
      <c r="K17">
        <v>318</v>
      </c>
      <c r="L17" t="s">
        <v>102</v>
      </c>
      <c r="M17" t="s">
        <v>13</v>
      </c>
      <c r="N17">
        <v>15.229915013735599</v>
      </c>
      <c r="O17">
        <v>15229.915013735599</v>
      </c>
    </row>
    <row r="18" spans="1:15" x14ac:dyDescent="0.2">
      <c r="A18">
        <v>16</v>
      </c>
      <c r="B18" t="s">
        <v>75</v>
      </c>
      <c r="C18" t="s">
        <v>12</v>
      </c>
      <c r="D18">
        <v>0</v>
      </c>
      <c r="E18">
        <v>0</v>
      </c>
      <c r="N18">
        <f>SUM(N2:N17)</f>
        <v>745.70371719650007</v>
      </c>
    </row>
    <row r="19" spans="1:15" x14ac:dyDescent="0.2">
      <c r="A19">
        <v>17</v>
      </c>
      <c r="B19" t="s">
        <v>75</v>
      </c>
      <c r="C19" t="s">
        <v>11</v>
      </c>
      <c r="D19">
        <v>0</v>
      </c>
      <c r="E19">
        <v>11.8251621257438</v>
      </c>
    </row>
    <row r="20" spans="1:15" x14ac:dyDescent="0.2">
      <c r="A20">
        <v>18</v>
      </c>
      <c r="B20" t="s">
        <v>75</v>
      </c>
      <c r="C20" t="s">
        <v>3</v>
      </c>
      <c r="D20">
        <v>0</v>
      </c>
      <c r="E20">
        <v>0.73922999999999905</v>
      </c>
    </row>
    <row r="21" spans="1:15" x14ac:dyDescent="0.2">
      <c r="A21">
        <v>19</v>
      </c>
      <c r="B21" t="s">
        <v>75</v>
      </c>
      <c r="C21" t="s">
        <v>9</v>
      </c>
      <c r="D21">
        <v>8.2199999999999999E-3</v>
      </c>
      <c r="E21">
        <v>0.82199999999999995</v>
      </c>
    </row>
    <row r="22" spans="1:15" x14ac:dyDescent="0.2">
      <c r="A22">
        <v>20</v>
      </c>
      <c r="B22" t="s">
        <v>75</v>
      </c>
      <c r="C22" t="s">
        <v>7</v>
      </c>
      <c r="D22">
        <v>0</v>
      </c>
      <c r="E22">
        <v>31.399999998999998</v>
      </c>
    </row>
    <row r="23" spans="1:15" x14ac:dyDescent="0.2">
      <c r="A23">
        <v>21</v>
      </c>
      <c r="B23" t="s">
        <v>75</v>
      </c>
      <c r="C23" t="s">
        <v>14</v>
      </c>
      <c r="D23">
        <v>0</v>
      </c>
      <c r="E23">
        <v>0</v>
      </c>
    </row>
    <row r="24" spans="1:15" x14ac:dyDescent="0.2">
      <c r="A24">
        <v>22</v>
      </c>
      <c r="B24" t="s">
        <v>75</v>
      </c>
      <c r="C24" t="s">
        <v>6</v>
      </c>
      <c r="D24">
        <v>0</v>
      </c>
      <c r="E24">
        <v>0</v>
      </c>
    </row>
    <row r="25" spans="1:15" x14ac:dyDescent="0.2">
      <c r="A25">
        <v>23</v>
      </c>
      <c r="B25" t="s">
        <v>121</v>
      </c>
      <c r="C25" t="s">
        <v>10</v>
      </c>
      <c r="D25">
        <v>0</v>
      </c>
      <c r="E25">
        <v>18.3250928261924</v>
      </c>
    </row>
    <row r="26" spans="1:15" x14ac:dyDescent="0.2">
      <c r="A26">
        <v>24</v>
      </c>
      <c r="B26" t="s">
        <v>121</v>
      </c>
      <c r="C26" t="s">
        <v>14</v>
      </c>
      <c r="D26">
        <v>0.46090461091343299</v>
      </c>
      <c r="E26">
        <v>460.90461091343298</v>
      </c>
    </row>
    <row r="27" spans="1:15" x14ac:dyDescent="0.2">
      <c r="A27">
        <v>25</v>
      </c>
      <c r="B27" t="s">
        <v>76</v>
      </c>
      <c r="C27" t="s">
        <v>8</v>
      </c>
      <c r="D27">
        <v>0</v>
      </c>
      <c r="E27">
        <v>0</v>
      </c>
    </row>
    <row r="28" spans="1:15" x14ac:dyDescent="0.2">
      <c r="A28">
        <v>26</v>
      </c>
      <c r="B28" t="s">
        <v>76</v>
      </c>
      <c r="C28" t="s">
        <v>10</v>
      </c>
      <c r="D28">
        <v>0</v>
      </c>
      <c r="E28">
        <v>0</v>
      </c>
    </row>
    <row r="29" spans="1:15" x14ac:dyDescent="0.2">
      <c r="A29">
        <v>27</v>
      </c>
      <c r="B29" t="s">
        <v>76</v>
      </c>
      <c r="C29" t="s">
        <v>12</v>
      </c>
      <c r="D29">
        <v>0</v>
      </c>
      <c r="E29">
        <v>0</v>
      </c>
    </row>
    <row r="30" spans="1:15" x14ac:dyDescent="0.2">
      <c r="A30">
        <v>28</v>
      </c>
      <c r="B30" t="s">
        <v>76</v>
      </c>
      <c r="C30" t="s">
        <v>11</v>
      </c>
      <c r="D30">
        <v>0</v>
      </c>
      <c r="E30">
        <v>33.980228298070202</v>
      </c>
    </row>
    <row r="31" spans="1:15" x14ac:dyDescent="0.2">
      <c r="A31">
        <v>29</v>
      </c>
      <c r="B31" t="s">
        <v>76</v>
      </c>
      <c r="C31" t="s">
        <v>3</v>
      </c>
      <c r="D31">
        <v>0</v>
      </c>
      <c r="E31">
        <v>9.4379399999999993</v>
      </c>
    </row>
    <row r="32" spans="1:15" x14ac:dyDescent="0.2">
      <c r="A32">
        <v>30</v>
      </c>
      <c r="B32" t="s">
        <v>76</v>
      </c>
      <c r="C32" t="s">
        <v>4</v>
      </c>
      <c r="D32">
        <v>0</v>
      </c>
      <c r="E32">
        <v>0</v>
      </c>
    </row>
    <row r="33" spans="1:8" x14ac:dyDescent="0.2">
      <c r="A33">
        <v>31</v>
      </c>
      <c r="B33" t="s">
        <v>76</v>
      </c>
      <c r="C33" t="s">
        <v>9</v>
      </c>
      <c r="D33">
        <v>1.2E-2</v>
      </c>
      <c r="E33">
        <v>1.2</v>
      </c>
    </row>
    <row r="34" spans="1:8" x14ac:dyDescent="0.2">
      <c r="A34">
        <v>32</v>
      </c>
      <c r="B34" t="s">
        <v>76</v>
      </c>
      <c r="C34" t="s">
        <v>13</v>
      </c>
      <c r="D34">
        <v>16.040968644674798</v>
      </c>
      <c r="E34">
        <v>16040.9686446748</v>
      </c>
      <c r="F34">
        <f>D34/2*10^6</f>
        <v>8020484.3223373992</v>
      </c>
      <c r="H34">
        <f>D34/4*10^6</f>
        <v>4010242.1611686996</v>
      </c>
    </row>
    <row r="35" spans="1:8" x14ac:dyDescent="0.2">
      <c r="A35">
        <v>33</v>
      </c>
      <c r="B35" t="s">
        <v>76</v>
      </c>
      <c r="C35" t="s">
        <v>7</v>
      </c>
      <c r="D35">
        <v>0</v>
      </c>
      <c r="E35">
        <v>0</v>
      </c>
    </row>
    <row r="36" spans="1:8" x14ac:dyDescent="0.2">
      <c r="A36">
        <v>34</v>
      </c>
      <c r="B36" t="s">
        <v>76</v>
      </c>
      <c r="C36" t="s">
        <v>14</v>
      </c>
      <c r="D36">
        <v>0</v>
      </c>
      <c r="E36">
        <v>0</v>
      </c>
    </row>
    <row r="37" spans="1:8" x14ac:dyDescent="0.2">
      <c r="A37">
        <v>35</v>
      </c>
      <c r="B37" t="s">
        <v>76</v>
      </c>
      <c r="C37" t="s">
        <v>6</v>
      </c>
      <c r="D37">
        <v>0</v>
      </c>
      <c r="E37">
        <v>14.82</v>
      </c>
    </row>
    <row r="38" spans="1:8" x14ac:dyDescent="0.2">
      <c r="A38">
        <v>36</v>
      </c>
      <c r="B38" t="s">
        <v>122</v>
      </c>
      <c r="C38" t="s">
        <v>10</v>
      </c>
      <c r="D38">
        <v>0</v>
      </c>
      <c r="E38">
        <v>18.055467273918399</v>
      </c>
    </row>
    <row r="39" spans="1:8" x14ac:dyDescent="0.2">
      <c r="A39">
        <v>37</v>
      </c>
      <c r="B39" t="s">
        <v>122</v>
      </c>
      <c r="C39" t="s">
        <v>13</v>
      </c>
      <c r="D39">
        <v>4.7243889605250704</v>
      </c>
      <c r="E39">
        <v>4724.3889605250797</v>
      </c>
      <c r="F39">
        <f>D39/2*10^6</f>
        <v>2362194.4802625352</v>
      </c>
      <c r="H39">
        <f>D39/4*10^6</f>
        <v>1181097.2401312676</v>
      </c>
    </row>
    <row r="40" spans="1:8" x14ac:dyDescent="0.2">
      <c r="A40">
        <v>38</v>
      </c>
      <c r="B40" t="s">
        <v>122</v>
      </c>
      <c r="C40" t="s">
        <v>14</v>
      </c>
      <c r="D40">
        <v>0</v>
      </c>
      <c r="E40">
        <v>0</v>
      </c>
    </row>
    <row r="41" spans="1:8" x14ac:dyDescent="0.2">
      <c r="A41">
        <v>39</v>
      </c>
      <c r="B41" t="s">
        <v>123</v>
      </c>
      <c r="C41" t="s">
        <v>8</v>
      </c>
      <c r="D41">
        <v>0.27414890491167898</v>
      </c>
      <c r="E41">
        <v>40.105937331106603</v>
      </c>
    </row>
    <row r="42" spans="1:8" x14ac:dyDescent="0.2">
      <c r="A42">
        <v>40</v>
      </c>
      <c r="B42" t="s">
        <v>123</v>
      </c>
      <c r="C42" t="s">
        <v>10</v>
      </c>
      <c r="D42">
        <v>0</v>
      </c>
      <c r="E42">
        <v>4.0607659524116997E-2</v>
      </c>
    </row>
    <row r="43" spans="1:8" x14ac:dyDescent="0.2">
      <c r="A43">
        <v>41</v>
      </c>
      <c r="B43" t="s">
        <v>123</v>
      </c>
      <c r="C43" t="s">
        <v>12</v>
      </c>
      <c r="D43">
        <v>0</v>
      </c>
      <c r="E43">
        <v>0</v>
      </c>
    </row>
    <row r="44" spans="1:8" x14ac:dyDescent="0.2">
      <c r="A44">
        <v>42</v>
      </c>
      <c r="B44" t="s">
        <v>123</v>
      </c>
      <c r="C44" t="s">
        <v>11</v>
      </c>
      <c r="D44">
        <v>0</v>
      </c>
      <c r="E44">
        <v>2.2257058185245499E-2</v>
      </c>
    </row>
    <row r="45" spans="1:8" x14ac:dyDescent="0.2">
      <c r="A45">
        <v>43</v>
      </c>
      <c r="B45" t="s">
        <v>123</v>
      </c>
      <c r="C45" t="s">
        <v>3</v>
      </c>
      <c r="D45">
        <v>0</v>
      </c>
      <c r="E45">
        <v>0.72131999999999996</v>
      </c>
    </row>
    <row r="46" spans="1:8" x14ac:dyDescent="0.2">
      <c r="A46">
        <v>44</v>
      </c>
      <c r="B46" t="s">
        <v>123</v>
      </c>
      <c r="C46" t="s">
        <v>4</v>
      </c>
      <c r="D46">
        <v>0</v>
      </c>
      <c r="E46">
        <v>0</v>
      </c>
    </row>
    <row r="47" spans="1:8" x14ac:dyDescent="0.2">
      <c r="A47">
        <v>45</v>
      </c>
      <c r="B47" t="s">
        <v>123</v>
      </c>
      <c r="C47" t="s">
        <v>13</v>
      </c>
      <c r="D47">
        <v>2.2825565418516599E-2</v>
      </c>
      <c r="E47">
        <v>22.8255654185166</v>
      </c>
      <c r="F47">
        <f>D47/2*10^6</f>
        <v>11412.782709258299</v>
      </c>
      <c r="H47">
        <f>D47/4*10^6</f>
        <v>5706.3913546291496</v>
      </c>
    </row>
    <row r="48" spans="1:8" x14ac:dyDescent="0.2">
      <c r="A48">
        <v>46</v>
      </c>
      <c r="B48" t="s">
        <v>123</v>
      </c>
      <c r="C48" t="s">
        <v>7</v>
      </c>
      <c r="D48">
        <v>0</v>
      </c>
      <c r="E48">
        <v>285.88789177958103</v>
      </c>
    </row>
    <row r="49" spans="1:8" x14ac:dyDescent="0.2">
      <c r="A49">
        <v>47</v>
      </c>
      <c r="B49" t="s">
        <v>123</v>
      </c>
      <c r="C49" t="s">
        <v>14</v>
      </c>
      <c r="D49">
        <v>0</v>
      </c>
      <c r="E49">
        <v>0</v>
      </c>
    </row>
    <row r="50" spans="1:8" x14ac:dyDescent="0.2">
      <c r="A50">
        <v>48</v>
      </c>
      <c r="B50" t="s">
        <v>123</v>
      </c>
      <c r="C50" t="s">
        <v>6</v>
      </c>
      <c r="D50">
        <v>0</v>
      </c>
      <c r="E50">
        <v>0</v>
      </c>
    </row>
    <row r="51" spans="1:8" x14ac:dyDescent="0.2">
      <c r="A51">
        <v>49</v>
      </c>
      <c r="B51" t="s">
        <v>124</v>
      </c>
      <c r="C51" t="s">
        <v>10</v>
      </c>
      <c r="D51">
        <v>0</v>
      </c>
      <c r="E51">
        <v>26.200358217089601</v>
      </c>
    </row>
    <row r="52" spans="1:8" x14ac:dyDescent="0.2">
      <c r="A52">
        <v>50</v>
      </c>
      <c r="B52" t="s">
        <v>124</v>
      </c>
      <c r="C52" t="s">
        <v>13</v>
      </c>
      <c r="D52">
        <v>4.1726585451521299</v>
      </c>
      <c r="E52">
        <v>4172.6585451521296</v>
      </c>
      <c r="F52">
        <f>D52/2*10^6</f>
        <v>2086329.272576065</v>
      </c>
      <c r="H52">
        <f>D52/4*10^6</f>
        <v>1043164.6362880325</v>
      </c>
    </row>
    <row r="53" spans="1:8" x14ac:dyDescent="0.2">
      <c r="A53">
        <v>51</v>
      </c>
      <c r="B53" t="s">
        <v>124</v>
      </c>
      <c r="C53" t="s">
        <v>14</v>
      </c>
      <c r="D53">
        <v>0</v>
      </c>
      <c r="E53">
        <v>0</v>
      </c>
    </row>
    <row r="54" spans="1:8" x14ac:dyDescent="0.2">
      <c r="A54">
        <v>52</v>
      </c>
      <c r="B54" t="s">
        <v>77</v>
      </c>
      <c r="C54" t="s">
        <v>8</v>
      </c>
      <c r="D54">
        <v>0.209975016724291</v>
      </c>
      <c r="E54">
        <v>30.713512509109201</v>
      </c>
    </row>
    <row r="55" spans="1:8" x14ac:dyDescent="0.2">
      <c r="A55">
        <v>53</v>
      </c>
      <c r="B55" t="s">
        <v>77</v>
      </c>
      <c r="C55" t="s">
        <v>10</v>
      </c>
      <c r="D55">
        <v>0</v>
      </c>
      <c r="E55">
        <v>0</v>
      </c>
    </row>
    <row r="56" spans="1:8" x14ac:dyDescent="0.2">
      <c r="A56">
        <v>54</v>
      </c>
      <c r="B56" t="s">
        <v>77</v>
      </c>
      <c r="C56" t="s">
        <v>12</v>
      </c>
      <c r="D56">
        <v>0</v>
      </c>
      <c r="E56">
        <v>0</v>
      </c>
    </row>
    <row r="57" spans="1:8" x14ac:dyDescent="0.2">
      <c r="A57">
        <v>55</v>
      </c>
      <c r="B57" t="s">
        <v>77</v>
      </c>
      <c r="C57" t="s">
        <v>11</v>
      </c>
      <c r="D57">
        <v>0</v>
      </c>
      <c r="E57">
        <v>26.904492223911699</v>
      </c>
    </row>
    <row r="58" spans="1:8" x14ac:dyDescent="0.2">
      <c r="A58">
        <v>56</v>
      </c>
      <c r="B58" t="s">
        <v>77</v>
      </c>
      <c r="C58" t="s">
        <v>3</v>
      </c>
      <c r="D58">
        <v>0</v>
      </c>
      <c r="E58">
        <v>11.586229999999899</v>
      </c>
    </row>
    <row r="59" spans="1:8" x14ac:dyDescent="0.2">
      <c r="A59">
        <v>57</v>
      </c>
      <c r="B59" t="s">
        <v>77</v>
      </c>
      <c r="C59" t="s">
        <v>4</v>
      </c>
      <c r="D59">
        <v>0</v>
      </c>
      <c r="E59">
        <v>0</v>
      </c>
    </row>
    <row r="60" spans="1:8" x14ac:dyDescent="0.2">
      <c r="A60">
        <v>58</v>
      </c>
      <c r="B60" t="s">
        <v>77</v>
      </c>
      <c r="C60" t="s">
        <v>5</v>
      </c>
      <c r="D60">
        <v>0</v>
      </c>
      <c r="E60">
        <v>120.20547000000001</v>
      </c>
    </row>
    <row r="61" spans="1:8" x14ac:dyDescent="0.2">
      <c r="A61">
        <v>59</v>
      </c>
      <c r="B61" t="s">
        <v>77</v>
      </c>
      <c r="C61" t="s">
        <v>9</v>
      </c>
      <c r="D61">
        <v>1.4E-2</v>
      </c>
      <c r="E61">
        <v>1.4</v>
      </c>
    </row>
    <row r="62" spans="1:8" x14ac:dyDescent="0.2">
      <c r="A62">
        <v>60</v>
      </c>
      <c r="B62" t="s">
        <v>77</v>
      </c>
      <c r="C62" t="s">
        <v>7</v>
      </c>
      <c r="D62">
        <v>0</v>
      </c>
      <c r="E62">
        <v>285.59999999979999</v>
      </c>
    </row>
    <row r="63" spans="1:8" x14ac:dyDescent="0.2">
      <c r="A63">
        <v>61</v>
      </c>
      <c r="B63" t="s">
        <v>77</v>
      </c>
      <c r="C63" t="s">
        <v>14</v>
      </c>
      <c r="D63">
        <v>0</v>
      </c>
      <c r="E63">
        <v>0</v>
      </c>
    </row>
    <row r="64" spans="1:8" x14ac:dyDescent="0.2">
      <c r="A64">
        <v>62</v>
      </c>
      <c r="B64" t="s">
        <v>77</v>
      </c>
      <c r="C64" t="s">
        <v>6</v>
      </c>
      <c r="D64">
        <v>0</v>
      </c>
      <c r="E64">
        <v>31.720000002599999</v>
      </c>
    </row>
    <row r="65" spans="1:8" x14ac:dyDescent="0.2">
      <c r="A65">
        <v>63</v>
      </c>
      <c r="B65" t="s">
        <v>125</v>
      </c>
      <c r="C65" t="s">
        <v>10</v>
      </c>
      <c r="D65">
        <v>0</v>
      </c>
      <c r="E65">
        <v>37.650424276984097</v>
      </c>
    </row>
    <row r="66" spans="1:8" x14ac:dyDescent="0.2">
      <c r="A66">
        <v>64</v>
      </c>
      <c r="B66" t="s">
        <v>125</v>
      </c>
      <c r="C66" t="s">
        <v>14</v>
      </c>
      <c r="D66">
        <v>0.94841949041388895</v>
      </c>
      <c r="E66">
        <v>948.41949041388898</v>
      </c>
    </row>
    <row r="67" spans="1:8" x14ac:dyDescent="0.2">
      <c r="A67">
        <v>65</v>
      </c>
      <c r="B67" t="s">
        <v>78</v>
      </c>
      <c r="C67" t="s">
        <v>8</v>
      </c>
      <c r="D67">
        <v>0.36950865792506798</v>
      </c>
      <c r="E67">
        <v>46.8796571953092</v>
      </c>
    </row>
    <row r="68" spans="1:8" x14ac:dyDescent="0.2">
      <c r="A68">
        <v>66</v>
      </c>
      <c r="B68" t="s">
        <v>78</v>
      </c>
      <c r="C68" t="s">
        <v>10</v>
      </c>
      <c r="D68">
        <v>0</v>
      </c>
      <c r="E68">
        <v>0</v>
      </c>
    </row>
    <row r="69" spans="1:8" x14ac:dyDescent="0.2">
      <c r="A69">
        <v>67</v>
      </c>
      <c r="B69" t="s">
        <v>78</v>
      </c>
      <c r="C69" t="s">
        <v>12</v>
      </c>
      <c r="D69">
        <v>0</v>
      </c>
      <c r="E69">
        <v>0</v>
      </c>
    </row>
    <row r="70" spans="1:8" x14ac:dyDescent="0.2">
      <c r="A70">
        <v>68</v>
      </c>
      <c r="B70" t="s">
        <v>78</v>
      </c>
      <c r="C70" t="s">
        <v>11</v>
      </c>
      <c r="D70">
        <v>0</v>
      </c>
      <c r="E70">
        <v>0</v>
      </c>
    </row>
    <row r="71" spans="1:8" x14ac:dyDescent="0.2">
      <c r="A71">
        <v>69</v>
      </c>
      <c r="B71" t="s">
        <v>78</v>
      </c>
      <c r="C71" t="s">
        <v>3</v>
      </c>
      <c r="D71">
        <v>0</v>
      </c>
      <c r="E71">
        <v>7.8003699999999903</v>
      </c>
    </row>
    <row r="72" spans="1:8" x14ac:dyDescent="0.2">
      <c r="A72">
        <v>70</v>
      </c>
      <c r="B72" t="s">
        <v>78</v>
      </c>
      <c r="C72" t="s">
        <v>4</v>
      </c>
      <c r="D72">
        <v>0</v>
      </c>
      <c r="E72">
        <v>0</v>
      </c>
    </row>
    <row r="73" spans="1:8" x14ac:dyDescent="0.2">
      <c r="A73">
        <v>71</v>
      </c>
      <c r="B73" t="s">
        <v>78</v>
      </c>
      <c r="C73" t="s">
        <v>13</v>
      </c>
      <c r="D73">
        <v>19.044478002729999</v>
      </c>
      <c r="E73">
        <v>19044.47800273</v>
      </c>
      <c r="F73">
        <f>D73/2*10^6</f>
        <v>9522239.0013650004</v>
      </c>
      <c r="H73">
        <f>D73/4*10^6</f>
        <v>4761119.5006825002</v>
      </c>
    </row>
    <row r="74" spans="1:8" x14ac:dyDescent="0.2">
      <c r="A74">
        <v>72</v>
      </c>
      <c r="B74" t="s">
        <v>78</v>
      </c>
      <c r="C74" t="s">
        <v>7</v>
      </c>
      <c r="D74">
        <v>0</v>
      </c>
      <c r="E74">
        <v>100.231448538156</v>
      </c>
    </row>
    <row r="75" spans="1:8" x14ac:dyDescent="0.2">
      <c r="A75">
        <v>73</v>
      </c>
      <c r="B75" t="s">
        <v>78</v>
      </c>
      <c r="C75" t="s">
        <v>14</v>
      </c>
      <c r="D75">
        <v>0</v>
      </c>
      <c r="E75">
        <v>0</v>
      </c>
    </row>
    <row r="76" spans="1:8" x14ac:dyDescent="0.2">
      <c r="A76">
        <v>74</v>
      </c>
      <c r="B76" t="s">
        <v>78</v>
      </c>
      <c r="C76" t="s">
        <v>6</v>
      </c>
      <c r="D76">
        <v>0</v>
      </c>
      <c r="E76">
        <v>0</v>
      </c>
    </row>
    <row r="77" spans="1:8" x14ac:dyDescent="0.2">
      <c r="A77">
        <v>75</v>
      </c>
      <c r="B77" t="s">
        <v>126</v>
      </c>
      <c r="C77" t="s">
        <v>10</v>
      </c>
      <c r="D77">
        <v>0</v>
      </c>
      <c r="E77">
        <v>35.062724433497003</v>
      </c>
    </row>
    <row r="78" spans="1:8" x14ac:dyDescent="0.2">
      <c r="A78">
        <v>76</v>
      </c>
      <c r="B78" t="s">
        <v>126</v>
      </c>
      <c r="C78" t="s">
        <v>13</v>
      </c>
      <c r="D78">
        <v>3.62656130647889</v>
      </c>
      <c r="E78">
        <v>3626.5613064789</v>
      </c>
      <c r="F78">
        <f>D78/2*10^6</f>
        <v>1813280.6532394451</v>
      </c>
      <c r="H78">
        <f>D78/4*10^6</f>
        <v>906640.32661972253</v>
      </c>
    </row>
    <row r="79" spans="1:8" x14ac:dyDescent="0.2">
      <c r="A79">
        <v>77</v>
      </c>
      <c r="B79" t="s">
        <v>126</v>
      </c>
      <c r="C79" t="s">
        <v>14</v>
      </c>
      <c r="D79">
        <v>0</v>
      </c>
      <c r="E79">
        <v>0</v>
      </c>
    </row>
    <row r="80" spans="1:8" x14ac:dyDescent="0.2">
      <c r="A80">
        <v>78</v>
      </c>
      <c r="B80" t="s">
        <v>79</v>
      </c>
      <c r="C80" t="s">
        <v>8</v>
      </c>
      <c r="D80">
        <v>0</v>
      </c>
      <c r="E80">
        <v>0</v>
      </c>
    </row>
    <row r="81" spans="1:8" x14ac:dyDescent="0.2">
      <c r="A81">
        <v>79</v>
      </c>
      <c r="B81" t="s">
        <v>79</v>
      </c>
      <c r="C81" t="s">
        <v>10</v>
      </c>
      <c r="D81">
        <v>0</v>
      </c>
      <c r="E81">
        <v>0</v>
      </c>
    </row>
    <row r="82" spans="1:8" x14ac:dyDescent="0.2">
      <c r="A82">
        <v>80</v>
      </c>
      <c r="B82" t="s">
        <v>79</v>
      </c>
      <c r="C82" t="s">
        <v>12</v>
      </c>
      <c r="D82">
        <v>0</v>
      </c>
      <c r="E82">
        <v>0</v>
      </c>
    </row>
    <row r="83" spans="1:8" x14ac:dyDescent="0.2">
      <c r="A83">
        <v>81</v>
      </c>
      <c r="B83" t="s">
        <v>79</v>
      </c>
      <c r="C83" t="s">
        <v>11</v>
      </c>
      <c r="D83">
        <v>0</v>
      </c>
      <c r="E83">
        <v>206.971405873641</v>
      </c>
    </row>
    <row r="84" spans="1:8" x14ac:dyDescent="0.2">
      <c r="A84">
        <v>82</v>
      </c>
      <c r="B84" t="s">
        <v>79</v>
      </c>
      <c r="C84" t="s">
        <v>3</v>
      </c>
      <c r="D84">
        <v>0</v>
      </c>
      <c r="E84">
        <v>12.3790599999999</v>
      </c>
    </row>
    <row r="85" spans="1:8" x14ac:dyDescent="0.2">
      <c r="A85">
        <v>83</v>
      </c>
      <c r="B85" t="s">
        <v>79</v>
      </c>
      <c r="C85" t="s">
        <v>4</v>
      </c>
      <c r="D85">
        <v>0</v>
      </c>
      <c r="E85">
        <v>0</v>
      </c>
    </row>
    <row r="86" spans="1:8" x14ac:dyDescent="0.2">
      <c r="A86">
        <v>84</v>
      </c>
      <c r="B86" t="s">
        <v>79</v>
      </c>
      <c r="C86" t="s">
        <v>5</v>
      </c>
      <c r="D86">
        <v>0</v>
      </c>
      <c r="E86">
        <v>125.86968195574499</v>
      </c>
    </row>
    <row r="87" spans="1:8" x14ac:dyDescent="0.2">
      <c r="A87">
        <v>85</v>
      </c>
      <c r="B87" t="s">
        <v>79</v>
      </c>
      <c r="C87" t="s">
        <v>9</v>
      </c>
      <c r="D87">
        <v>0.1297075</v>
      </c>
      <c r="E87">
        <v>12.970750000000001</v>
      </c>
    </row>
    <row r="88" spans="1:8" x14ac:dyDescent="0.2">
      <c r="A88">
        <v>86</v>
      </c>
      <c r="B88" t="s">
        <v>79</v>
      </c>
      <c r="C88" t="s">
        <v>13</v>
      </c>
      <c r="D88">
        <v>95.375102584815295</v>
      </c>
      <c r="E88">
        <v>95375.102584815293</v>
      </c>
      <c r="F88">
        <f>D88/2*10^6</f>
        <v>47687551.292407647</v>
      </c>
      <c r="H88">
        <f>D88/4*10^6</f>
        <v>23843775.646203823</v>
      </c>
    </row>
    <row r="89" spans="1:8" x14ac:dyDescent="0.2">
      <c r="A89">
        <v>87</v>
      </c>
      <c r="B89" t="s">
        <v>79</v>
      </c>
      <c r="C89" t="s">
        <v>7</v>
      </c>
      <c r="D89">
        <v>0</v>
      </c>
      <c r="E89">
        <v>309.319707639733</v>
      </c>
    </row>
    <row r="90" spans="1:8" x14ac:dyDescent="0.2">
      <c r="A90">
        <v>88</v>
      </c>
      <c r="B90" t="s">
        <v>79</v>
      </c>
      <c r="C90" t="s">
        <v>14</v>
      </c>
      <c r="D90">
        <v>0</v>
      </c>
      <c r="E90">
        <v>0</v>
      </c>
    </row>
    <row r="91" spans="1:8" x14ac:dyDescent="0.2">
      <c r="A91">
        <v>89</v>
      </c>
      <c r="B91" t="s">
        <v>79</v>
      </c>
      <c r="C91" t="s">
        <v>6</v>
      </c>
      <c r="D91">
        <v>0</v>
      </c>
      <c r="E91">
        <v>49.53</v>
      </c>
    </row>
    <row r="92" spans="1:8" x14ac:dyDescent="0.2">
      <c r="A92">
        <v>90</v>
      </c>
      <c r="B92" t="s">
        <v>127</v>
      </c>
      <c r="C92" t="s">
        <v>10</v>
      </c>
      <c r="D92">
        <v>0</v>
      </c>
      <c r="E92">
        <v>118.450172044816</v>
      </c>
    </row>
    <row r="93" spans="1:8" x14ac:dyDescent="0.2">
      <c r="A93">
        <v>91</v>
      </c>
      <c r="B93" t="s">
        <v>127</v>
      </c>
      <c r="C93" t="s">
        <v>13</v>
      </c>
      <c r="D93">
        <v>33.040694304130596</v>
      </c>
      <c r="E93">
        <v>33040.6943041306</v>
      </c>
      <c r="F93">
        <f>D93/2*10^6</f>
        <v>16520347.152065298</v>
      </c>
      <c r="H93">
        <f>D93/4*10^6</f>
        <v>8260173.5760326488</v>
      </c>
    </row>
    <row r="94" spans="1:8" x14ac:dyDescent="0.2">
      <c r="A94">
        <v>92</v>
      </c>
      <c r="B94" t="s">
        <v>127</v>
      </c>
      <c r="C94" t="s">
        <v>14</v>
      </c>
      <c r="D94">
        <v>0</v>
      </c>
      <c r="E94">
        <v>0</v>
      </c>
    </row>
    <row r="95" spans="1:8" x14ac:dyDescent="0.2">
      <c r="A95">
        <v>93</v>
      </c>
      <c r="B95" t="s">
        <v>80</v>
      </c>
      <c r="C95" t="s">
        <v>8</v>
      </c>
      <c r="D95">
        <v>0.51303810496477997</v>
      </c>
      <c r="E95">
        <v>73.225433882734393</v>
      </c>
    </row>
    <row r="96" spans="1:8" x14ac:dyDescent="0.2">
      <c r="A96">
        <v>94</v>
      </c>
      <c r="B96" t="s">
        <v>80</v>
      </c>
      <c r="C96" t="s">
        <v>10</v>
      </c>
      <c r="D96">
        <v>0</v>
      </c>
      <c r="E96">
        <v>0</v>
      </c>
    </row>
    <row r="97" spans="1:5" x14ac:dyDescent="0.2">
      <c r="A97">
        <v>95</v>
      </c>
      <c r="B97" t="s">
        <v>80</v>
      </c>
      <c r="C97" t="s">
        <v>12</v>
      </c>
      <c r="D97">
        <v>0</v>
      </c>
      <c r="E97">
        <v>0</v>
      </c>
    </row>
    <row r="98" spans="1:5" x14ac:dyDescent="0.2">
      <c r="A98">
        <v>96</v>
      </c>
      <c r="B98" t="s">
        <v>80</v>
      </c>
      <c r="C98" t="s">
        <v>11</v>
      </c>
      <c r="D98">
        <v>0</v>
      </c>
      <c r="E98">
        <v>0</v>
      </c>
    </row>
    <row r="99" spans="1:5" x14ac:dyDescent="0.2">
      <c r="A99">
        <v>97</v>
      </c>
      <c r="B99" t="s">
        <v>80</v>
      </c>
      <c r="C99" t="s">
        <v>3</v>
      </c>
      <c r="D99">
        <v>0</v>
      </c>
      <c r="E99">
        <v>15.480969999999999</v>
      </c>
    </row>
    <row r="100" spans="1:5" x14ac:dyDescent="0.2">
      <c r="A100">
        <v>98</v>
      </c>
      <c r="B100" t="s">
        <v>80</v>
      </c>
      <c r="C100" t="s">
        <v>4</v>
      </c>
      <c r="D100">
        <v>0</v>
      </c>
      <c r="E100">
        <v>0</v>
      </c>
    </row>
    <row r="101" spans="1:5" x14ac:dyDescent="0.2">
      <c r="A101">
        <v>99</v>
      </c>
      <c r="B101" t="s">
        <v>80</v>
      </c>
      <c r="C101" t="s">
        <v>5</v>
      </c>
      <c r="D101">
        <v>0</v>
      </c>
      <c r="E101">
        <v>0</v>
      </c>
    </row>
    <row r="102" spans="1:5" x14ac:dyDescent="0.2">
      <c r="A102">
        <v>100</v>
      </c>
      <c r="B102" t="s">
        <v>80</v>
      </c>
      <c r="C102" t="s">
        <v>7</v>
      </c>
      <c r="D102">
        <v>0</v>
      </c>
      <c r="E102">
        <v>2.8</v>
      </c>
    </row>
    <row r="103" spans="1:5" x14ac:dyDescent="0.2">
      <c r="A103">
        <v>101</v>
      </c>
      <c r="B103" t="s">
        <v>80</v>
      </c>
      <c r="C103" t="s">
        <v>14</v>
      </c>
      <c r="D103">
        <v>0</v>
      </c>
      <c r="E103">
        <v>0</v>
      </c>
    </row>
    <row r="104" spans="1:5" x14ac:dyDescent="0.2">
      <c r="A104">
        <v>102</v>
      </c>
      <c r="B104" t="s">
        <v>80</v>
      </c>
      <c r="C104" t="s">
        <v>6</v>
      </c>
      <c r="D104">
        <v>0</v>
      </c>
      <c r="E104">
        <v>74.7960146624754</v>
      </c>
    </row>
    <row r="105" spans="1:5" x14ac:dyDescent="0.2">
      <c r="A105">
        <v>103</v>
      </c>
      <c r="B105" t="s">
        <v>128</v>
      </c>
      <c r="C105" t="s">
        <v>10</v>
      </c>
      <c r="D105">
        <v>0</v>
      </c>
      <c r="E105">
        <v>37.059998857610701</v>
      </c>
    </row>
    <row r="106" spans="1:5" x14ac:dyDescent="0.2">
      <c r="A106">
        <v>104</v>
      </c>
      <c r="B106" t="s">
        <v>128</v>
      </c>
      <c r="C106" t="s">
        <v>14</v>
      </c>
      <c r="D106">
        <v>0.96134108279780806</v>
      </c>
      <c r="E106">
        <v>961.34108279780799</v>
      </c>
    </row>
    <row r="107" spans="1:5" x14ac:dyDescent="0.2">
      <c r="A107">
        <v>105</v>
      </c>
      <c r="B107" t="s">
        <v>81</v>
      </c>
      <c r="C107" t="s">
        <v>8</v>
      </c>
      <c r="D107">
        <v>0.43948013271135</v>
      </c>
      <c r="E107">
        <v>62.726575451621599</v>
      </c>
    </row>
    <row r="108" spans="1:5" x14ac:dyDescent="0.2">
      <c r="A108">
        <v>106</v>
      </c>
      <c r="B108" t="s">
        <v>81</v>
      </c>
      <c r="C108" t="s">
        <v>10</v>
      </c>
      <c r="D108">
        <v>0</v>
      </c>
      <c r="E108">
        <v>0</v>
      </c>
    </row>
    <row r="109" spans="1:5" x14ac:dyDescent="0.2">
      <c r="A109">
        <v>107</v>
      </c>
      <c r="B109" t="s">
        <v>81</v>
      </c>
      <c r="C109" t="s">
        <v>12</v>
      </c>
      <c r="D109">
        <v>0</v>
      </c>
      <c r="E109">
        <v>0</v>
      </c>
    </row>
    <row r="110" spans="1:5" x14ac:dyDescent="0.2">
      <c r="A110">
        <v>108</v>
      </c>
      <c r="B110" t="s">
        <v>81</v>
      </c>
      <c r="C110" t="s">
        <v>11</v>
      </c>
      <c r="D110">
        <v>0</v>
      </c>
      <c r="E110">
        <v>0</v>
      </c>
    </row>
    <row r="111" spans="1:5" x14ac:dyDescent="0.2">
      <c r="A111">
        <v>109</v>
      </c>
      <c r="B111" t="s">
        <v>81</v>
      </c>
      <c r="C111" t="s">
        <v>3</v>
      </c>
      <c r="D111">
        <v>0</v>
      </c>
      <c r="E111">
        <v>20.492669999999901</v>
      </c>
    </row>
    <row r="112" spans="1:5" x14ac:dyDescent="0.2">
      <c r="A112">
        <v>110</v>
      </c>
      <c r="B112" t="s">
        <v>81</v>
      </c>
      <c r="C112" t="s">
        <v>4</v>
      </c>
      <c r="D112">
        <v>0</v>
      </c>
      <c r="E112">
        <v>0</v>
      </c>
    </row>
    <row r="113" spans="1:5" x14ac:dyDescent="0.2">
      <c r="A113">
        <v>111</v>
      </c>
      <c r="B113" t="s">
        <v>81</v>
      </c>
      <c r="C113" t="s">
        <v>7</v>
      </c>
      <c r="D113">
        <v>0</v>
      </c>
      <c r="E113">
        <v>340.39999998019903</v>
      </c>
    </row>
    <row r="114" spans="1:5" x14ac:dyDescent="0.2">
      <c r="A114">
        <v>112</v>
      </c>
      <c r="B114" t="s">
        <v>81</v>
      </c>
      <c r="C114" t="s">
        <v>14</v>
      </c>
      <c r="D114">
        <v>0</v>
      </c>
      <c r="E114">
        <v>0</v>
      </c>
    </row>
    <row r="115" spans="1:5" x14ac:dyDescent="0.2">
      <c r="A115">
        <v>113</v>
      </c>
      <c r="B115" t="s">
        <v>81</v>
      </c>
      <c r="C115" t="s">
        <v>6</v>
      </c>
      <c r="D115">
        <v>0</v>
      </c>
      <c r="E115">
        <v>68.328000000000003</v>
      </c>
    </row>
    <row r="116" spans="1:5" x14ac:dyDescent="0.2">
      <c r="A116">
        <v>114</v>
      </c>
      <c r="B116" t="s">
        <v>129</v>
      </c>
      <c r="C116" t="s">
        <v>10</v>
      </c>
      <c r="D116">
        <v>0</v>
      </c>
      <c r="E116">
        <v>36.922075397618997</v>
      </c>
    </row>
    <row r="117" spans="1:5" x14ac:dyDescent="0.2">
      <c r="A117">
        <v>115</v>
      </c>
      <c r="B117" t="s">
        <v>129</v>
      </c>
      <c r="C117" t="s">
        <v>14</v>
      </c>
      <c r="D117">
        <v>0.93007227955833305</v>
      </c>
      <c r="E117">
        <v>930.07227955833298</v>
      </c>
    </row>
    <row r="118" spans="1:5" x14ac:dyDescent="0.2">
      <c r="A118">
        <v>116</v>
      </c>
      <c r="B118" t="s">
        <v>82</v>
      </c>
      <c r="C118" t="s">
        <v>8</v>
      </c>
      <c r="D118">
        <v>1.33435582244384E-3</v>
      </c>
      <c r="E118">
        <v>0.47669019745754698</v>
      </c>
    </row>
    <row r="119" spans="1:5" x14ac:dyDescent="0.2">
      <c r="A119">
        <v>117</v>
      </c>
      <c r="B119" t="s">
        <v>82</v>
      </c>
      <c r="C119" t="s">
        <v>10</v>
      </c>
      <c r="D119">
        <v>0</v>
      </c>
      <c r="E119">
        <v>0</v>
      </c>
    </row>
    <row r="120" spans="1:5" x14ac:dyDescent="0.2">
      <c r="A120">
        <v>118</v>
      </c>
      <c r="B120" t="s">
        <v>82</v>
      </c>
      <c r="C120" t="s">
        <v>12</v>
      </c>
      <c r="D120">
        <v>0</v>
      </c>
      <c r="E120">
        <v>0</v>
      </c>
    </row>
    <row r="121" spans="1:5" x14ac:dyDescent="0.2">
      <c r="A121">
        <v>119</v>
      </c>
      <c r="B121" t="s">
        <v>82</v>
      </c>
      <c r="C121" t="s">
        <v>11</v>
      </c>
      <c r="D121">
        <v>0</v>
      </c>
      <c r="E121">
        <v>0</v>
      </c>
    </row>
    <row r="122" spans="1:5" x14ac:dyDescent="0.2">
      <c r="A122">
        <v>120</v>
      </c>
      <c r="B122" t="s">
        <v>82</v>
      </c>
      <c r="C122" t="s">
        <v>3</v>
      </c>
      <c r="D122">
        <v>0</v>
      </c>
      <c r="E122">
        <v>1.3954899999999999</v>
      </c>
    </row>
    <row r="123" spans="1:5" x14ac:dyDescent="0.2">
      <c r="A123">
        <v>121</v>
      </c>
      <c r="B123" t="s">
        <v>82</v>
      </c>
      <c r="C123" t="s">
        <v>4</v>
      </c>
      <c r="D123">
        <v>0</v>
      </c>
      <c r="E123">
        <v>12.563503761760099</v>
      </c>
    </row>
    <row r="124" spans="1:5" x14ac:dyDescent="0.2">
      <c r="A124">
        <v>122</v>
      </c>
      <c r="B124" t="s">
        <v>82</v>
      </c>
      <c r="C124" t="s">
        <v>5</v>
      </c>
      <c r="D124">
        <v>0</v>
      </c>
      <c r="E124">
        <v>0</v>
      </c>
    </row>
    <row r="125" spans="1:5" x14ac:dyDescent="0.2">
      <c r="A125">
        <v>123</v>
      </c>
      <c r="B125" t="s">
        <v>82</v>
      </c>
      <c r="C125" t="s">
        <v>9</v>
      </c>
      <c r="D125">
        <v>4.0000000000000001E-3</v>
      </c>
      <c r="E125">
        <v>0.4</v>
      </c>
    </row>
    <row r="126" spans="1:5" x14ac:dyDescent="0.2">
      <c r="A126">
        <v>124</v>
      </c>
      <c r="B126" t="s">
        <v>82</v>
      </c>
      <c r="C126" t="s">
        <v>7</v>
      </c>
      <c r="D126">
        <v>0</v>
      </c>
      <c r="E126">
        <v>9.1018904733287602</v>
      </c>
    </row>
    <row r="127" spans="1:5" x14ac:dyDescent="0.2">
      <c r="A127">
        <v>125</v>
      </c>
      <c r="B127" t="s">
        <v>82</v>
      </c>
      <c r="C127" t="s">
        <v>14</v>
      </c>
      <c r="D127">
        <v>0</v>
      </c>
      <c r="E127">
        <v>0</v>
      </c>
    </row>
    <row r="128" spans="1:5" x14ac:dyDescent="0.2">
      <c r="A128">
        <v>126</v>
      </c>
      <c r="B128" t="s">
        <v>82</v>
      </c>
      <c r="C128" t="s">
        <v>6</v>
      </c>
      <c r="D128">
        <v>0</v>
      </c>
      <c r="E128">
        <v>0.98285373616117699</v>
      </c>
    </row>
    <row r="129" spans="1:8" x14ac:dyDescent="0.2">
      <c r="A129">
        <v>127</v>
      </c>
      <c r="B129" t="s">
        <v>130</v>
      </c>
      <c r="C129" t="s">
        <v>10</v>
      </c>
      <c r="D129">
        <v>0</v>
      </c>
      <c r="E129">
        <v>5.1442039786750202</v>
      </c>
    </row>
    <row r="130" spans="1:8" x14ac:dyDescent="0.2">
      <c r="A130">
        <v>128</v>
      </c>
      <c r="B130" t="s">
        <v>130</v>
      </c>
      <c r="C130" t="s">
        <v>14</v>
      </c>
      <c r="D130">
        <v>0.112928343523819</v>
      </c>
      <c r="E130">
        <v>112.928343523819</v>
      </c>
    </row>
    <row r="131" spans="1:8" x14ac:dyDescent="0.2">
      <c r="A131">
        <v>129</v>
      </c>
      <c r="B131" t="s">
        <v>83</v>
      </c>
      <c r="C131" t="s">
        <v>8</v>
      </c>
      <c r="D131">
        <v>1.11984960189497</v>
      </c>
      <c r="E131">
        <v>159.83505355376201</v>
      </c>
    </row>
    <row r="132" spans="1:8" x14ac:dyDescent="0.2">
      <c r="A132">
        <v>130</v>
      </c>
      <c r="B132" t="s">
        <v>83</v>
      </c>
      <c r="C132" t="s">
        <v>10</v>
      </c>
      <c r="D132">
        <v>0</v>
      </c>
      <c r="E132">
        <v>0</v>
      </c>
    </row>
    <row r="133" spans="1:8" x14ac:dyDescent="0.2">
      <c r="A133">
        <v>131</v>
      </c>
      <c r="B133" t="s">
        <v>83</v>
      </c>
      <c r="C133" t="s">
        <v>12</v>
      </c>
      <c r="D133">
        <v>0</v>
      </c>
      <c r="E133">
        <v>0</v>
      </c>
    </row>
    <row r="134" spans="1:8" x14ac:dyDescent="0.2">
      <c r="A134">
        <v>132</v>
      </c>
      <c r="B134" t="s">
        <v>83</v>
      </c>
      <c r="C134" t="s">
        <v>11</v>
      </c>
      <c r="D134">
        <v>0</v>
      </c>
      <c r="E134">
        <v>0</v>
      </c>
    </row>
    <row r="135" spans="1:8" x14ac:dyDescent="0.2">
      <c r="A135">
        <v>133</v>
      </c>
      <c r="B135" t="s">
        <v>83</v>
      </c>
      <c r="C135" t="s">
        <v>3</v>
      </c>
      <c r="D135">
        <v>0</v>
      </c>
      <c r="E135">
        <v>1.6154599999999999</v>
      </c>
    </row>
    <row r="136" spans="1:8" x14ac:dyDescent="0.2">
      <c r="A136">
        <v>134</v>
      </c>
      <c r="B136" t="s">
        <v>83</v>
      </c>
      <c r="C136" t="s">
        <v>4</v>
      </c>
      <c r="D136">
        <v>0</v>
      </c>
      <c r="E136">
        <v>0</v>
      </c>
    </row>
    <row r="137" spans="1:8" x14ac:dyDescent="0.2">
      <c r="A137">
        <v>135</v>
      </c>
      <c r="B137" t="s">
        <v>83</v>
      </c>
      <c r="C137" t="s">
        <v>5</v>
      </c>
      <c r="D137">
        <v>0</v>
      </c>
      <c r="E137">
        <v>0</v>
      </c>
    </row>
    <row r="138" spans="1:8" x14ac:dyDescent="0.2">
      <c r="A138">
        <v>136</v>
      </c>
      <c r="B138" t="s">
        <v>83</v>
      </c>
      <c r="C138" t="s">
        <v>9</v>
      </c>
      <c r="D138">
        <v>8.73945E-2</v>
      </c>
      <c r="E138">
        <v>8.7394499999999997</v>
      </c>
    </row>
    <row r="139" spans="1:8" x14ac:dyDescent="0.2">
      <c r="A139">
        <v>137</v>
      </c>
      <c r="B139" t="s">
        <v>83</v>
      </c>
      <c r="C139" t="s">
        <v>13</v>
      </c>
      <c r="D139">
        <v>9.7986029729037103</v>
      </c>
      <c r="E139">
        <v>9798.6029729037109</v>
      </c>
      <c r="F139">
        <f>D139/2*10^6</f>
        <v>4899301.4864518549</v>
      </c>
      <c r="H139">
        <f>D139/4*10^6</f>
        <v>2449650.7432259275</v>
      </c>
    </row>
    <row r="140" spans="1:8" x14ac:dyDescent="0.2">
      <c r="A140">
        <v>138</v>
      </c>
      <c r="B140" t="s">
        <v>83</v>
      </c>
      <c r="C140" t="s">
        <v>7</v>
      </c>
      <c r="D140">
        <v>0</v>
      </c>
      <c r="E140">
        <v>491.5</v>
      </c>
    </row>
    <row r="141" spans="1:8" x14ac:dyDescent="0.2">
      <c r="A141">
        <v>139</v>
      </c>
      <c r="B141" t="s">
        <v>83</v>
      </c>
      <c r="C141" t="s">
        <v>14</v>
      </c>
      <c r="D141">
        <v>0</v>
      </c>
      <c r="E141">
        <v>0</v>
      </c>
    </row>
    <row r="142" spans="1:8" x14ac:dyDescent="0.2">
      <c r="A142">
        <v>140</v>
      </c>
      <c r="B142" t="s">
        <v>83</v>
      </c>
      <c r="C142" t="s">
        <v>6</v>
      </c>
      <c r="D142">
        <v>0</v>
      </c>
      <c r="E142">
        <v>46.436</v>
      </c>
    </row>
    <row r="143" spans="1:8" x14ac:dyDescent="0.2">
      <c r="A143">
        <v>141</v>
      </c>
      <c r="B143" t="s">
        <v>131</v>
      </c>
      <c r="C143" t="s">
        <v>10</v>
      </c>
      <c r="D143">
        <v>0</v>
      </c>
      <c r="E143">
        <v>101.982668298649</v>
      </c>
    </row>
    <row r="144" spans="1:8" x14ac:dyDescent="0.2">
      <c r="A144">
        <v>142</v>
      </c>
      <c r="B144" t="s">
        <v>131</v>
      </c>
      <c r="C144" t="s">
        <v>13</v>
      </c>
      <c r="D144">
        <v>16.790332943316098</v>
      </c>
      <c r="E144">
        <v>16790.332943316102</v>
      </c>
      <c r="F144">
        <f>D144/2*10^6</f>
        <v>8395166.4716580492</v>
      </c>
      <c r="H144">
        <f>D144/4*10^6</f>
        <v>4197583.2358290246</v>
      </c>
    </row>
    <row r="145" spans="1:5" x14ac:dyDescent="0.2">
      <c r="A145">
        <v>143</v>
      </c>
      <c r="B145" t="s">
        <v>131</v>
      </c>
      <c r="C145" t="s">
        <v>14</v>
      </c>
      <c r="D145">
        <v>0</v>
      </c>
      <c r="E145">
        <v>0</v>
      </c>
    </row>
    <row r="146" spans="1:5" x14ac:dyDescent="0.2">
      <c r="A146">
        <v>144</v>
      </c>
      <c r="B146" t="s">
        <v>84</v>
      </c>
      <c r="C146" t="s">
        <v>8</v>
      </c>
      <c r="D146">
        <v>0</v>
      </c>
      <c r="E146">
        <v>0</v>
      </c>
    </row>
    <row r="147" spans="1:5" x14ac:dyDescent="0.2">
      <c r="A147">
        <v>145</v>
      </c>
      <c r="B147" t="s">
        <v>84</v>
      </c>
      <c r="C147" t="s">
        <v>10</v>
      </c>
      <c r="D147">
        <v>0</v>
      </c>
      <c r="E147">
        <v>0</v>
      </c>
    </row>
    <row r="148" spans="1:5" x14ac:dyDescent="0.2">
      <c r="A148">
        <v>146</v>
      </c>
      <c r="B148" t="s">
        <v>84</v>
      </c>
      <c r="C148" t="s">
        <v>12</v>
      </c>
      <c r="D148">
        <v>0</v>
      </c>
      <c r="E148">
        <v>0</v>
      </c>
    </row>
    <row r="149" spans="1:5" x14ac:dyDescent="0.2">
      <c r="A149">
        <v>147</v>
      </c>
      <c r="B149" t="s">
        <v>84</v>
      </c>
      <c r="C149" t="s">
        <v>11</v>
      </c>
      <c r="D149">
        <v>0</v>
      </c>
      <c r="E149">
        <v>7.8426413199680001</v>
      </c>
    </row>
    <row r="150" spans="1:5" x14ac:dyDescent="0.2">
      <c r="A150">
        <v>148</v>
      </c>
      <c r="B150" t="s">
        <v>84</v>
      </c>
      <c r="C150" t="s">
        <v>3</v>
      </c>
      <c r="D150">
        <v>0</v>
      </c>
      <c r="E150">
        <v>0.79457999999999995</v>
      </c>
    </row>
    <row r="151" spans="1:5" x14ac:dyDescent="0.2">
      <c r="A151">
        <v>149</v>
      </c>
      <c r="B151" t="s">
        <v>84</v>
      </c>
      <c r="C151" t="s">
        <v>4</v>
      </c>
      <c r="D151">
        <v>0</v>
      </c>
      <c r="E151">
        <v>0</v>
      </c>
    </row>
    <row r="152" spans="1:5" x14ac:dyDescent="0.2">
      <c r="A152">
        <v>150</v>
      </c>
      <c r="B152" t="s">
        <v>84</v>
      </c>
      <c r="C152" t="s">
        <v>9</v>
      </c>
      <c r="D152">
        <v>1.2E-2</v>
      </c>
      <c r="E152">
        <v>1.2</v>
      </c>
    </row>
    <row r="153" spans="1:5" x14ac:dyDescent="0.2">
      <c r="A153">
        <v>151</v>
      </c>
      <c r="B153" t="s">
        <v>84</v>
      </c>
      <c r="C153" t="s">
        <v>7</v>
      </c>
      <c r="D153">
        <v>0</v>
      </c>
      <c r="E153">
        <v>4.9000000000000004</v>
      </c>
    </row>
    <row r="154" spans="1:5" x14ac:dyDescent="0.2">
      <c r="A154">
        <v>152</v>
      </c>
      <c r="B154" t="s">
        <v>84</v>
      </c>
      <c r="C154" t="s">
        <v>14</v>
      </c>
      <c r="D154">
        <v>0</v>
      </c>
      <c r="E154">
        <v>0</v>
      </c>
    </row>
    <row r="155" spans="1:5" x14ac:dyDescent="0.2">
      <c r="A155">
        <v>153</v>
      </c>
      <c r="B155" t="s">
        <v>84</v>
      </c>
      <c r="C155" t="s">
        <v>6</v>
      </c>
      <c r="D155">
        <v>0</v>
      </c>
      <c r="E155">
        <v>223.106000026</v>
      </c>
    </row>
    <row r="156" spans="1:5" x14ac:dyDescent="0.2">
      <c r="A156">
        <v>154</v>
      </c>
      <c r="B156" t="s">
        <v>132</v>
      </c>
      <c r="C156" t="s">
        <v>10</v>
      </c>
      <c r="D156">
        <v>0</v>
      </c>
      <c r="E156">
        <v>16.579348216143401</v>
      </c>
    </row>
    <row r="157" spans="1:5" x14ac:dyDescent="0.2">
      <c r="A157">
        <v>155</v>
      </c>
      <c r="B157" t="s">
        <v>132</v>
      </c>
      <c r="C157" t="s">
        <v>14</v>
      </c>
      <c r="D157">
        <v>0.40806514459763799</v>
      </c>
      <c r="E157">
        <v>408.06514459763798</v>
      </c>
    </row>
    <row r="158" spans="1:5" x14ac:dyDescent="0.2">
      <c r="A158">
        <v>156</v>
      </c>
      <c r="B158" t="s">
        <v>85</v>
      </c>
      <c r="C158" t="s">
        <v>8</v>
      </c>
      <c r="D158">
        <v>0.809438004979809</v>
      </c>
      <c r="E158">
        <v>119.348293182422</v>
      </c>
    </row>
    <row r="159" spans="1:5" x14ac:dyDescent="0.2">
      <c r="A159">
        <v>157</v>
      </c>
      <c r="B159" t="s">
        <v>85</v>
      </c>
      <c r="C159" t="s">
        <v>10</v>
      </c>
      <c r="D159">
        <v>0</v>
      </c>
      <c r="E159">
        <v>0</v>
      </c>
    </row>
    <row r="160" spans="1:5" x14ac:dyDescent="0.2">
      <c r="A160">
        <v>158</v>
      </c>
      <c r="B160" t="s">
        <v>85</v>
      </c>
      <c r="C160" t="s">
        <v>12</v>
      </c>
      <c r="D160">
        <v>0</v>
      </c>
      <c r="E160">
        <v>0</v>
      </c>
    </row>
    <row r="161" spans="1:8" x14ac:dyDescent="0.2">
      <c r="A161">
        <v>159</v>
      </c>
      <c r="B161" t="s">
        <v>85</v>
      </c>
      <c r="C161" t="s">
        <v>11</v>
      </c>
      <c r="D161">
        <v>0</v>
      </c>
      <c r="E161">
        <v>60.935593548157001</v>
      </c>
    </row>
    <row r="162" spans="1:8" x14ac:dyDescent="0.2">
      <c r="A162">
        <v>160</v>
      </c>
      <c r="B162" t="s">
        <v>85</v>
      </c>
      <c r="C162" t="s">
        <v>3</v>
      </c>
      <c r="D162">
        <v>0</v>
      </c>
      <c r="E162">
        <v>3.79571999999999</v>
      </c>
    </row>
    <row r="163" spans="1:8" x14ac:dyDescent="0.2">
      <c r="A163">
        <v>161</v>
      </c>
      <c r="B163" t="s">
        <v>85</v>
      </c>
      <c r="C163" t="s">
        <v>4</v>
      </c>
      <c r="D163">
        <v>0</v>
      </c>
      <c r="E163">
        <v>0</v>
      </c>
    </row>
    <row r="164" spans="1:8" x14ac:dyDescent="0.2">
      <c r="A164">
        <v>162</v>
      </c>
      <c r="B164" t="s">
        <v>85</v>
      </c>
      <c r="C164" t="s">
        <v>9</v>
      </c>
      <c r="D164">
        <v>1.32E-2</v>
      </c>
      <c r="E164">
        <v>1.32</v>
      </c>
    </row>
    <row r="165" spans="1:8" x14ac:dyDescent="0.2">
      <c r="A165">
        <v>163</v>
      </c>
      <c r="B165" t="s">
        <v>85</v>
      </c>
      <c r="C165" t="s">
        <v>13</v>
      </c>
      <c r="D165">
        <v>37.663871464704897</v>
      </c>
      <c r="E165">
        <v>37663.871464704898</v>
      </c>
      <c r="F165">
        <f>D165/2*10^6</f>
        <v>18831935.732352447</v>
      </c>
      <c r="H165">
        <f>D165/4*10^6</f>
        <v>9415967.8661762234</v>
      </c>
    </row>
    <row r="166" spans="1:8" x14ac:dyDescent="0.2">
      <c r="A166">
        <v>164</v>
      </c>
      <c r="B166" t="s">
        <v>85</v>
      </c>
      <c r="C166" t="s">
        <v>7</v>
      </c>
      <c r="D166">
        <v>0</v>
      </c>
      <c r="E166">
        <v>6</v>
      </c>
    </row>
    <row r="167" spans="1:8" x14ac:dyDescent="0.2">
      <c r="A167">
        <v>165</v>
      </c>
      <c r="B167" t="s">
        <v>85</v>
      </c>
      <c r="C167" t="s">
        <v>14</v>
      </c>
      <c r="D167">
        <v>0</v>
      </c>
      <c r="E167">
        <v>0</v>
      </c>
    </row>
    <row r="168" spans="1:8" x14ac:dyDescent="0.2">
      <c r="A168">
        <v>166</v>
      </c>
      <c r="B168" t="s">
        <v>85</v>
      </c>
      <c r="C168" t="s">
        <v>6</v>
      </c>
      <c r="D168">
        <v>0</v>
      </c>
      <c r="E168">
        <v>0</v>
      </c>
    </row>
    <row r="169" spans="1:8" x14ac:dyDescent="0.2">
      <c r="A169">
        <v>167</v>
      </c>
      <c r="B169" t="s">
        <v>133</v>
      </c>
      <c r="C169" t="s">
        <v>10</v>
      </c>
      <c r="D169">
        <v>0</v>
      </c>
      <c r="E169">
        <v>81.099413878052701</v>
      </c>
    </row>
    <row r="170" spans="1:8" x14ac:dyDescent="0.2">
      <c r="A170">
        <v>168</v>
      </c>
      <c r="B170" t="s">
        <v>133</v>
      </c>
      <c r="C170" t="s">
        <v>13</v>
      </c>
      <c r="D170">
        <v>24.120772735470201</v>
      </c>
      <c r="E170">
        <v>24120.7727354702</v>
      </c>
      <c r="F170">
        <f>D170/2*10^6</f>
        <v>12060386.367735101</v>
      </c>
      <c r="H170">
        <f>D170/4*10^6</f>
        <v>6030193.1838675505</v>
      </c>
    </row>
    <row r="171" spans="1:8" x14ac:dyDescent="0.2">
      <c r="A171">
        <v>169</v>
      </c>
      <c r="B171" t="s">
        <v>133</v>
      </c>
      <c r="C171" t="s">
        <v>14</v>
      </c>
      <c r="D171">
        <v>0</v>
      </c>
      <c r="E171">
        <v>0</v>
      </c>
    </row>
    <row r="172" spans="1:8" x14ac:dyDescent="0.2">
      <c r="A172">
        <v>170</v>
      </c>
      <c r="B172" t="s">
        <v>86</v>
      </c>
      <c r="C172" t="s">
        <v>8</v>
      </c>
      <c r="D172">
        <v>0</v>
      </c>
      <c r="E172">
        <v>0</v>
      </c>
    </row>
    <row r="173" spans="1:8" x14ac:dyDescent="0.2">
      <c r="A173">
        <v>171</v>
      </c>
      <c r="B173" t="s">
        <v>86</v>
      </c>
      <c r="C173" t="s">
        <v>10</v>
      </c>
      <c r="D173">
        <v>0</v>
      </c>
      <c r="E173">
        <v>0</v>
      </c>
    </row>
    <row r="174" spans="1:8" x14ac:dyDescent="0.2">
      <c r="A174">
        <v>172</v>
      </c>
      <c r="B174" t="s">
        <v>86</v>
      </c>
      <c r="C174" t="s">
        <v>12</v>
      </c>
      <c r="D174">
        <v>0</v>
      </c>
      <c r="E174">
        <v>0</v>
      </c>
    </row>
    <row r="175" spans="1:8" x14ac:dyDescent="0.2">
      <c r="A175">
        <v>173</v>
      </c>
      <c r="B175" t="s">
        <v>86</v>
      </c>
      <c r="C175" t="s">
        <v>11</v>
      </c>
      <c r="D175">
        <v>0</v>
      </c>
      <c r="E175">
        <v>59.044101489599001</v>
      </c>
    </row>
    <row r="176" spans="1:8" x14ac:dyDescent="0.2">
      <c r="A176">
        <v>174</v>
      </c>
      <c r="B176" t="s">
        <v>86</v>
      </c>
      <c r="C176" t="s">
        <v>3</v>
      </c>
      <c r="D176">
        <v>0</v>
      </c>
      <c r="E176">
        <v>35.12538</v>
      </c>
    </row>
    <row r="177" spans="1:8" x14ac:dyDescent="0.2">
      <c r="A177">
        <v>175</v>
      </c>
      <c r="B177" t="s">
        <v>86</v>
      </c>
      <c r="C177" t="s">
        <v>4</v>
      </c>
      <c r="D177">
        <v>0</v>
      </c>
      <c r="E177">
        <v>0</v>
      </c>
    </row>
    <row r="178" spans="1:8" x14ac:dyDescent="0.2">
      <c r="A178">
        <v>176</v>
      </c>
      <c r="B178" t="s">
        <v>86</v>
      </c>
      <c r="C178" t="s">
        <v>9</v>
      </c>
      <c r="D178">
        <v>1.38088E-2</v>
      </c>
      <c r="E178">
        <v>1.3808800000000001</v>
      </c>
    </row>
    <row r="179" spans="1:8" x14ac:dyDescent="0.2">
      <c r="A179">
        <v>177</v>
      </c>
      <c r="B179" t="s">
        <v>86</v>
      </c>
      <c r="C179" t="s">
        <v>13</v>
      </c>
      <c r="D179">
        <v>27.8147782219344</v>
      </c>
      <c r="E179">
        <v>27814.778221934401</v>
      </c>
      <c r="F179">
        <f>D179/2*10^6</f>
        <v>13907389.1109672</v>
      </c>
      <c r="H179">
        <f>D179/4*10^6</f>
        <v>6953694.5554836001</v>
      </c>
    </row>
    <row r="180" spans="1:8" x14ac:dyDescent="0.2">
      <c r="A180">
        <v>178</v>
      </c>
      <c r="B180" t="s">
        <v>86</v>
      </c>
      <c r="C180" t="s">
        <v>7</v>
      </c>
      <c r="D180">
        <v>0</v>
      </c>
      <c r="E180">
        <v>78.900000019800004</v>
      </c>
    </row>
    <row r="181" spans="1:8" x14ac:dyDescent="0.2">
      <c r="A181">
        <v>179</v>
      </c>
      <c r="B181" t="s">
        <v>86</v>
      </c>
      <c r="C181" t="s">
        <v>14</v>
      </c>
      <c r="D181">
        <v>0</v>
      </c>
      <c r="E181">
        <v>0</v>
      </c>
    </row>
    <row r="182" spans="1:8" x14ac:dyDescent="0.2">
      <c r="A182">
        <v>180</v>
      </c>
      <c r="B182" t="s">
        <v>86</v>
      </c>
      <c r="C182" t="s">
        <v>6</v>
      </c>
      <c r="D182">
        <v>0</v>
      </c>
      <c r="E182">
        <v>40.845999999999997</v>
      </c>
    </row>
    <row r="183" spans="1:8" x14ac:dyDescent="0.2">
      <c r="A183">
        <v>181</v>
      </c>
      <c r="B183" t="s">
        <v>134</v>
      </c>
      <c r="C183" t="s">
        <v>10</v>
      </c>
      <c r="D183">
        <v>0</v>
      </c>
      <c r="E183">
        <v>42.315049337070803</v>
      </c>
    </row>
    <row r="184" spans="1:8" x14ac:dyDescent="0.2">
      <c r="A184">
        <v>182</v>
      </c>
      <c r="B184" t="s">
        <v>134</v>
      </c>
      <c r="C184" t="s">
        <v>13</v>
      </c>
      <c r="D184">
        <v>14.061522129864599</v>
      </c>
      <c r="E184">
        <v>14061.522129864599</v>
      </c>
      <c r="F184">
        <f>D184/2*10^6</f>
        <v>7030761.0649322998</v>
      </c>
      <c r="H184">
        <f>D184/4*10^6</f>
        <v>3515380.5324661499</v>
      </c>
    </row>
    <row r="185" spans="1:8" x14ac:dyDescent="0.2">
      <c r="A185">
        <v>183</v>
      </c>
      <c r="B185" t="s">
        <v>134</v>
      </c>
      <c r="C185" t="s">
        <v>14</v>
      </c>
      <c r="D185">
        <v>0</v>
      </c>
      <c r="E185">
        <v>0</v>
      </c>
    </row>
    <row r="186" spans="1:8" x14ac:dyDescent="0.2">
      <c r="A186">
        <v>184</v>
      </c>
      <c r="B186" t="s">
        <v>87</v>
      </c>
      <c r="C186" t="s">
        <v>8</v>
      </c>
      <c r="D186">
        <v>0</v>
      </c>
      <c r="E186">
        <v>0</v>
      </c>
    </row>
    <row r="187" spans="1:8" x14ac:dyDescent="0.2">
      <c r="A187">
        <v>185</v>
      </c>
      <c r="B187" t="s">
        <v>87</v>
      </c>
      <c r="C187" t="s">
        <v>10</v>
      </c>
      <c r="D187">
        <v>0</v>
      </c>
      <c r="E187">
        <v>0</v>
      </c>
    </row>
    <row r="188" spans="1:8" x14ac:dyDescent="0.2">
      <c r="A188">
        <v>186</v>
      </c>
      <c r="B188" t="s">
        <v>87</v>
      </c>
      <c r="C188" t="s">
        <v>12</v>
      </c>
      <c r="D188">
        <v>0</v>
      </c>
      <c r="E188">
        <v>0</v>
      </c>
    </row>
    <row r="189" spans="1:8" x14ac:dyDescent="0.2">
      <c r="A189">
        <v>187</v>
      </c>
      <c r="B189" t="s">
        <v>87</v>
      </c>
      <c r="C189" t="s">
        <v>11</v>
      </c>
      <c r="D189">
        <v>0</v>
      </c>
      <c r="E189">
        <v>72.322649188972903</v>
      </c>
    </row>
    <row r="190" spans="1:8" x14ac:dyDescent="0.2">
      <c r="A190">
        <v>188</v>
      </c>
      <c r="B190" t="s">
        <v>87</v>
      </c>
      <c r="C190" t="s">
        <v>3</v>
      </c>
      <c r="D190">
        <v>0</v>
      </c>
      <c r="E190">
        <v>14.111330000000001</v>
      </c>
    </row>
    <row r="191" spans="1:8" x14ac:dyDescent="0.2">
      <c r="A191">
        <v>189</v>
      </c>
      <c r="B191" t="s">
        <v>87</v>
      </c>
      <c r="C191" t="s">
        <v>4</v>
      </c>
      <c r="D191">
        <v>0</v>
      </c>
      <c r="E191">
        <v>0</v>
      </c>
    </row>
    <row r="192" spans="1:8" x14ac:dyDescent="0.2">
      <c r="A192">
        <v>190</v>
      </c>
      <c r="B192" t="s">
        <v>87</v>
      </c>
      <c r="C192" t="s">
        <v>13</v>
      </c>
      <c r="D192">
        <v>31.133304982730401</v>
      </c>
      <c r="E192">
        <v>31133.304982730398</v>
      </c>
      <c r="F192">
        <f>D192/2*10^6</f>
        <v>15566652.4913652</v>
      </c>
      <c r="H192">
        <f>D192/4*10^6</f>
        <v>7783326.2456826</v>
      </c>
    </row>
    <row r="193" spans="1:8" x14ac:dyDescent="0.2">
      <c r="A193">
        <v>191</v>
      </c>
      <c r="B193" t="s">
        <v>87</v>
      </c>
      <c r="C193" t="s">
        <v>7</v>
      </c>
      <c r="D193">
        <v>0</v>
      </c>
      <c r="E193">
        <v>23.000000002</v>
      </c>
    </row>
    <row r="194" spans="1:8" x14ac:dyDescent="0.2">
      <c r="A194">
        <v>192</v>
      </c>
      <c r="B194" t="s">
        <v>87</v>
      </c>
      <c r="C194" t="s">
        <v>14</v>
      </c>
      <c r="D194">
        <v>0</v>
      </c>
      <c r="E194">
        <v>0</v>
      </c>
    </row>
    <row r="195" spans="1:8" x14ac:dyDescent="0.2">
      <c r="A195">
        <v>193</v>
      </c>
      <c r="B195" t="s">
        <v>87</v>
      </c>
      <c r="C195" t="s">
        <v>6</v>
      </c>
      <c r="D195">
        <v>0</v>
      </c>
      <c r="E195">
        <v>0</v>
      </c>
    </row>
    <row r="196" spans="1:8" x14ac:dyDescent="0.2">
      <c r="A196">
        <v>194</v>
      </c>
      <c r="B196" t="s">
        <v>135</v>
      </c>
      <c r="C196" t="s">
        <v>10</v>
      </c>
      <c r="D196">
        <v>0</v>
      </c>
      <c r="E196">
        <v>36.224088355699799</v>
      </c>
    </row>
    <row r="197" spans="1:8" x14ac:dyDescent="0.2">
      <c r="A197">
        <v>195</v>
      </c>
      <c r="B197" t="s">
        <v>135</v>
      </c>
      <c r="C197" t="s">
        <v>13</v>
      </c>
      <c r="D197">
        <v>12.586725425665</v>
      </c>
      <c r="E197">
        <v>12586.725425664999</v>
      </c>
      <c r="F197">
        <f>D197/2*10^6</f>
        <v>6293362.7128325002</v>
      </c>
      <c r="H197">
        <f>D197/4*10^6</f>
        <v>3146681.3564162501</v>
      </c>
    </row>
    <row r="198" spans="1:8" x14ac:dyDescent="0.2">
      <c r="A198">
        <v>196</v>
      </c>
      <c r="B198" t="s">
        <v>135</v>
      </c>
      <c r="C198" t="s">
        <v>14</v>
      </c>
      <c r="D198">
        <v>0</v>
      </c>
      <c r="E198">
        <v>0</v>
      </c>
    </row>
    <row r="199" spans="1:8" x14ac:dyDescent="0.2">
      <c r="A199">
        <v>197</v>
      </c>
      <c r="B199" t="s">
        <v>88</v>
      </c>
      <c r="C199" t="s">
        <v>8</v>
      </c>
      <c r="D199">
        <v>0</v>
      </c>
      <c r="E199">
        <v>0</v>
      </c>
    </row>
    <row r="200" spans="1:8" x14ac:dyDescent="0.2">
      <c r="A200">
        <v>198</v>
      </c>
      <c r="B200" t="s">
        <v>88</v>
      </c>
      <c r="C200" t="s">
        <v>10</v>
      </c>
      <c r="D200">
        <v>0</v>
      </c>
      <c r="E200">
        <v>0</v>
      </c>
    </row>
    <row r="201" spans="1:8" x14ac:dyDescent="0.2">
      <c r="A201">
        <v>199</v>
      </c>
      <c r="B201" t="s">
        <v>88</v>
      </c>
      <c r="C201" t="s">
        <v>12</v>
      </c>
      <c r="D201">
        <v>0</v>
      </c>
      <c r="E201">
        <v>0</v>
      </c>
    </row>
    <row r="202" spans="1:8" x14ac:dyDescent="0.2">
      <c r="A202">
        <v>200</v>
      </c>
      <c r="B202" t="s">
        <v>88</v>
      </c>
      <c r="C202" t="s">
        <v>11</v>
      </c>
      <c r="D202">
        <v>0</v>
      </c>
      <c r="E202">
        <v>161.25959191295101</v>
      </c>
    </row>
    <row r="203" spans="1:8" x14ac:dyDescent="0.2">
      <c r="A203">
        <v>201</v>
      </c>
      <c r="B203" t="s">
        <v>88</v>
      </c>
      <c r="C203" t="s">
        <v>3</v>
      </c>
      <c r="D203">
        <v>0</v>
      </c>
      <c r="E203">
        <v>2.64872</v>
      </c>
    </row>
    <row r="204" spans="1:8" x14ac:dyDescent="0.2">
      <c r="A204">
        <v>202</v>
      </c>
      <c r="B204" t="s">
        <v>88</v>
      </c>
      <c r="C204" t="s">
        <v>4</v>
      </c>
      <c r="D204">
        <v>0</v>
      </c>
      <c r="E204">
        <v>89.999035392290395</v>
      </c>
    </row>
    <row r="205" spans="1:8" x14ac:dyDescent="0.2">
      <c r="A205">
        <v>203</v>
      </c>
      <c r="B205" t="s">
        <v>88</v>
      </c>
      <c r="C205" t="s">
        <v>5</v>
      </c>
      <c r="D205">
        <v>0</v>
      </c>
      <c r="E205">
        <v>0</v>
      </c>
    </row>
    <row r="206" spans="1:8" x14ac:dyDescent="0.2">
      <c r="A206">
        <v>204</v>
      </c>
      <c r="B206" t="s">
        <v>88</v>
      </c>
      <c r="C206" t="s">
        <v>9</v>
      </c>
      <c r="D206">
        <v>3.5423999999999997E-2</v>
      </c>
      <c r="E206">
        <v>3.5424000000000002</v>
      </c>
    </row>
    <row r="207" spans="1:8" x14ac:dyDescent="0.2">
      <c r="A207">
        <v>205</v>
      </c>
      <c r="B207" t="s">
        <v>88</v>
      </c>
      <c r="C207" t="s">
        <v>13</v>
      </c>
      <c r="D207">
        <v>109.085720375565</v>
      </c>
      <c r="E207">
        <v>109085.720375565</v>
      </c>
      <c r="F207">
        <f>D207/2*10^6</f>
        <v>54542860.187782504</v>
      </c>
      <c r="H207">
        <f>D207/4*10^6</f>
        <v>27271430.093891252</v>
      </c>
    </row>
    <row r="208" spans="1:8" x14ac:dyDescent="0.2">
      <c r="A208">
        <v>206</v>
      </c>
      <c r="B208" t="s">
        <v>88</v>
      </c>
      <c r="C208" t="s">
        <v>7</v>
      </c>
      <c r="D208">
        <v>0</v>
      </c>
      <c r="E208">
        <v>25.2</v>
      </c>
    </row>
    <row r="209" spans="1:8" x14ac:dyDescent="0.2">
      <c r="A209">
        <v>207</v>
      </c>
      <c r="B209" t="s">
        <v>88</v>
      </c>
      <c r="C209" t="s">
        <v>14</v>
      </c>
      <c r="D209">
        <v>0</v>
      </c>
      <c r="E209">
        <v>0</v>
      </c>
    </row>
    <row r="210" spans="1:8" x14ac:dyDescent="0.2">
      <c r="A210">
        <v>208</v>
      </c>
      <c r="B210" t="s">
        <v>88</v>
      </c>
      <c r="C210" t="s">
        <v>6</v>
      </c>
      <c r="D210">
        <v>0</v>
      </c>
      <c r="E210">
        <v>0</v>
      </c>
    </row>
    <row r="211" spans="1:8" x14ac:dyDescent="0.2">
      <c r="A211">
        <v>209</v>
      </c>
      <c r="B211" t="s">
        <v>136</v>
      </c>
      <c r="C211" t="s">
        <v>10</v>
      </c>
      <c r="D211">
        <v>0</v>
      </c>
      <c r="E211">
        <v>107.571838452926</v>
      </c>
    </row>
    <row r="212" spans="1:8" x14ac:dyDescent="0.2">
      <c r="A212">
        <v>210</v>
      </c>
      <c r="B212" t="s">
        <v>136</v>
      </c>
      <c r="C212" t="s">
        <v>13</v>
      </c>
      <c r="D212">
        <v>59.312151778799098</v>
      </c>
      <c r="E212">
        <v>59312.151778799103</v>
      </c>
      <c r="F212">
        <f>D212/2*10^6</f>
        <v>29656075.889399551</v>
      </c>
      <c r="H212">
        <f>D212/4*10^6</f>
        <v>14828037.944699775</v>
      </c>
    </row>
    <row r="213" spans="1:8" x14ac:dyDescent="0.2">
      <c r="A213">
        <v>211</v>
      </c>
      <c r="B213" t="s">
        <v>136</v>
      </c>
      <c r="C213" t="s">
        <v>14</v>
      </c>
      <c r="D213">
        <v>0</v>
      </c>
      <c r="E213">
        <v>0</v>
      </c>
    </row>
    <row r="214" spans="1:8" x14ac:dyDescent="0.2">
      <c r="A214">
        <v>212</v>
      </c>
      <c r="B214" t="s">
        <v>89</v>
      </c>
      <c r="C214" t="s">
        <v>8</v>
      </c>
      <c r="D214">
        <v>0.16660909412663799</v>
      </c>
      <c r="E214">
        <v>27.1770917780518</v>
      </c>
    </row>
    <row r="215" spans="1:8" x14ac:dyDescent="0.2">
      <c r="A215">
        <v>213</v>
      </c>
      <c r="B215" t="s">
        <v>89</v>
      </c>
      <c r="C215" t="s">
        <v>10</v>
      </c>
      <c r="D215">
        <v>0</v>
      </c>
      <c r="E215">
        <v>0</v>
      </c>
    </row>
    <row r="216" spans="1:8" x14ac:dyDescent="0.2">
      <c r="A216">
        <v>214</v>
      </c>
      <c r="B216" t="s">
        <v>89</v>
      </c>
      <c r="C216" t="s">
        <v>12</v>
      </c>
      <c r="D216">
        <v>0</v>
      </c>
      <c r="E216">
        <v>0</v>
      </c>
    </row>
    <row r="217" spans="1:8" x14ac:dyDescent="0.2">
      <c r="A217">
        <v>215</v>
      </c>
      <c r="B217" t="s">
        <v>89</v>
      </c>
      <c r="C217" t="s">
        <v>11</v>
      </c>
      <c r="D217">
        <v>0</v>
      </c>
      <c r="E217">
        <v>31.111082751568102</v>
      </c>
    </row>
    <row r="218" spans="1:8" x14ac:dyDescent="0.2">
      <c r="A218">
        <v>216</v>
      </c>
      <c r="B218" t="s">
        <v>89</v>
      </c>
      <c r="C218" t="s">
        <v>3</v>
      </c>
      <c r="D218">
        <v>0</v>
      </c>
      <c r="E218">
        <v>5.6166200000000002</v>
      </c>
    </row>
    <row r="219" spans="1:8" x14ac:dyDescent="0.2">
      <c r="A219">
        <v>217</v>
      </c>
      <c r="B219" t="s">
        <v>89</v>
      </c>
      <c r="C219" t="s">
        <v>4</v>
      </c>
      <c r="D219">
        <v>0</v>
      </c>
      <c r="E219">
        <v>0</v>
      </c>
    </row>
    <row r="220" spans="1:8" x14ac:dyDescent="0.2">
      <c r="A220">
        <v>218</v>
      </c>
      <c r="B220" t="s">
        <v>89</v>
      </c>
      <c r="C220" t="s">
        <v>9</v>
      </c>
      <c r="D220">
        <v>1.2E-2</v>
      </c>
      <c r="E220">
        <v>1.2</v>
      </c>
    </row>
    <row r="221" spans="1:8" x14ac:dyDescent="0.2">
      <c r="A221">
        <v>219</v>
      </c>
      <c r="B221" t="s">
        <v>89</v>
      </c>
      <c r="C221" t="s">
        <v>13</v>
      </c>
      <c r="D221">
        <v>22.294455376721899</v>
      </c>
      <c r="E221">
        <v>22294.4553767219</v>
      </c>
      <c r="F221">
        <f>D221/2*10^6</f>
        <v>11147227.68836095</v>
      </c>
      <c r="H221">
        <f>D221/4*10^6</f>
        <v>5573613.844180475</v>
      </c>
    </row>
    <row r="222" spans="1:8" x14ac:dyDescent="0.2">
      <c r="A222">
        <v>220</v>
      </c>
      <c r="B222" t="s">
        <v>89</v>
      </c>
      <c r="C222" t="s">
        <v>7</v>
      </c>
      <c r="D222">
        <v>0</v>
      </c>
      <c r="E222">
        <v>269.89999999999998</v>
      </c>
    </row>
    <row r="223" spans="1:8" x14ac:dyDescent="0.2">
      <c r="A223">
        <v>221</v>
      </c>
      <c r="B223" t="s">
        <v>89</v>
      </c>
      <c r="C223" t="s">
        <v>14</v>
      </c>
      <c r="D223">
        <v>0</v>
      </c>
      <c r="E223">
        <v>0</v>
      </c>
    </row>
    <row r="224" spans="1:8" x14ac:dyDescent="0.2">
      <c r="A224">
        <v>222</v>
      </c>
      <c r="B224" t="s">
        <v>89</v>
      </c>
      <c r="C224" t="s">
        <v>6</v>
      </c>
      <c r="D224">
        <v>0</v>
      </c>
      <c r="E224">
        <v>58.448</v>
      </c>
    </row>
    <row r="225" spans="1:8" x14ac:dyDescent="0.2">
      <c r="A225">
        <v>223</v>
      </c>
      <c r="B225" t="s">
        <v>137</v>
      </c>
      <c r="C225" t="s">
        <v>10</v>
      </c>
      <c r="D225">
        <v>0</v>
      </c>
      <c r="E225">
        <v>39.879904659716303</v>
      </c>
    </row>
    <row r="226" spans="1:8" x14ac:dyDescent="0.2">
      <c r="A226">
        <v>224</v>
      </c>
      <c r="B226" t="s">
        <v>137</v>
      </c>
      <c r="C226" t="s">
        <v>13</v>
      </c>
      <c r="D226">
        <v>8.9410340773306203</v>
      </c>
      <c r="E226">
        <v>8941.0340773306198</v>
      </c>
      <c r="F226">
        <f>D226/2*10^6</f>
        <v>4470517.0386653105</v>
      </c>
      <c r="H226">
        <f>D226/4*10^6</f>
        <v>2235258.5193326552</v>
      </c>
    </row>
    <row r="227" spans="1:8" x14ac:dyDescent="0.2">
      <c r="A227">
        <v>225</v>
      </c>
      <c r="B227" t="s">
        <v>137</v>
      </c>
      <c r="C227" t="s">
        <v>14</v>
      </c>
      <c r="D227">
        <v>0</v>
      </c>
      <c r="E227">
        <v>0</v>
      </c>
    </row>
    <row r="228" spans="1:8" x14ac:dyDescent="0.2">
      <c r="A228">
        <v>226</v>
      </c>
      <c r="B228" t="s">
        <v>90</v>
      </c>
      <c r="C228" t="s">
        <v>8</v>
      </c>
      <c r="D228">
        <v>5.52945592329721E-2</v>
      </c>
      <c r="E228">
        <v>9.0195875500000007</v>
      </c>
    </row>
    <row r="229" spans="1:8" x14ac:dyDescent="0.2">
      <c r="A229">
        <v>227</v>
      </c>
      <c r="B229" t="s">
        <v>90</v>
      </c>
      <c r="C229" t="s">
        <v>10</v>
      </c>
      <c r="D229">
        <v>0</v>
      </c>
      <c r="E229">
        <v>0</v>
      </c>
    </row>
    <row r="230" spans="1:8" x14ac:dyDescent="0.2">
      <c r="A230">
        <v>228</v>
      </c>
      <c r="B230" t="s">
        <v>90</v>
      </c>
      <c r="C230" t="s">
        <v>12</v>
      </c>
      <c r="D230">
        <v>0</v>
      </c>
      <c r="E230">
        <v>0</v>
      </c>
    </row>
    <row r="231" spans="1:8" x14ac:dyDescent="0.2">
      <c r="A231">
        <v>229</v>
      </c>
      <c r="B231" t="s">
        <v>90</v>
      </c>
      <c r="C231" t="s">
        <v>11</v>
      </c>
      <c r="D231">
        <v>0</v>
      </c>
      <c r="E231">
        <v>5.4476974964756497</v>
      </c>
    </row>
    <row r="232" spans="1:8" x14ac:dyDescent="0.2">
      <c r="A232">
        <v>230</v>
      </c>
      <c r="B232" t="s">
        <v>90</v>
      </c>
      <c r="C232" t="s">
        <v>3</v>
      </c>
      <c r="D232">
        <v>0</v>
      </c>
      <c r="E232">
        <v>4.6018299999999996</v>
      </c>
    </row>
    <row r="233" spans="1:8" x14ac:dyDescent="0.2">
      <c r="A233">
        <v>231</v>
      </c>
      <c r="B233" t="s">
        <v>90</v>
      </c>
      <c r="C233" t="s">
        <v>4</v>
      </c>
      <c r="D233">
        <v>0</v>
      </c>
      <c r="E233">
        <v>0</v>
      </c>
    </row>
    <row r="234" spans="1:8" x14ac:dyDescent="0.2">
      <c r="A234">
        <v>232</v>
      </c>
      <c r="B234" t="s">
        <v>90</v>
      </c>
      <c r="C234" t="s">
        <v>9</v>
      </c>
      <c r="D234">
        <v>1.7000000000000001E-2</v>
      </c>
      <c r="E234">
        <v>1.7</v>
      </c>
    </row>
    <row r="235" spans="1:8" x14ac:dyDescent="0.2">
      <c r="A235">
        <v>233</v>
      </c>
      <c r="B235" t="s">
        <v>90</v>
      </c>
      <c r="C235" t="s">
        <v>7</v>
      </c>
      <c r="D235">
        <v>0</v>
      </c>
      <c r="E235">
        <v>3.7</v>
      </c>
    </row>
    <row r="236" spans="1:8" x14ac:dyDescent="0.2">
      <c r="A236">
        <v>234</v>
      </c>
      <c r="B236" t="s">
        <v>90</v>
      </c>
      <c r="C236" t="s">
        <v>14</v>
      </c>
      <c r="D236">
        <v>0</v>
      </c>
      <c r="E236">
        <v>0</v>
      </c>
    </row>
    <row r="237" spans="1:8" x14ac:dyDescent="0.2">
      <c r="A237">
        <v>235</v>
      </c>
      <c r="B237" t="s">
        <v>90</v>
      </c>
      <c r="C237" t="s">
        <v>6</v>
      </c>
      <c r="D237">
        <v>0</v>
      </c>
      <c r="E237">
        <v>78.233999999999995</v>
      </c>
    </row>
    <row r="238" spans="1:8" x14ac:dyDescent="0.2">
      <c r="A238">
        <v>236</v>
      </c>
      <c r="B238" t="s">
        <v>138</v>
      </c>
      <c r="C238" t="s">
        <v>10</v>
      </c>
      <c r="D238">
        <v>0</v>
      </c>
      <c r="E238">
        <v>13.278249513102701</v>
      </c>
    </row>
    <row r="239" spans="1:8" x14ac:dyDescent="0.2">
      <c r="A239">
        <v>237</v>
      </c>
      <c r="B239" t="s">
        <v>138</v>
      </c>
      <c r="C239" t="s">
        <v>14</v>
      </c>
      <c r="D239">
        <v>0.32967215844499997</v>
      </c>
      <c r="E239">
        <v>329.67215844499901</v>
      </c>
    </row>
    <row r="240" spans="1:8" x14ac:dyDescent="0.2">
      <c r="A240">
        <v>238</v>
      </c>
      <c r="B240" t="s">
        <v>91</v>
      </c>
      <c r="C240" t="s">
        <v>8</v>
      </c>
      <c r="D240">
        <v>2.1750141030059102E-2</v>
      </c>
      <c r="E240">
        <v>3.5478590292928001</v>
      </c>
    </row>
    <row r="241" spans="1:5" x14ac:dyDescent="0.2">
      <c r="A241">
        <v>239</v>
      </c>
      <c r="B241" t="s">
        <v>91</v>
      </c>
      <c r="C241" t="s">
        <v>10</v>
      </c>
      <c r="D241">
        <v>0</v>
      </c>
      <c r="E241">
        <v>0</v>
      </c>
    </row>
    <row r="242" spans="1:5" x14ac:dyDescent="0.2">
      <c r="A242">
        <v>240</v>
      </c>
      <c r="B242" t="s">
        <v>91</v>
      </c>
      <c r="C242" t="s">
        <v>12</v>
      </c>
      <c r="D242">
        <v>0</v>
      </c>
      <c r="E242">
        <v>0</v>
      </c>
    </row>
    <row r="243" spans="1:5" x14ac:dyDescent="0.2">
      <c r="A243">
        <v>241</v>
      </c>
      <c r="B243" t="s">
        <v>91</v>
      </c>
      <c r="C243" t="s">
        <v>11</v>
      </c>
      <c r="D243">
        <v>0</v>
      </c>
      <c r="E243">
        <v>49.621393983589101</v>
      </c>
    </row>
    <row r="244" spans="1:5" x14ac:dyDescent="0.2">
      <c r="A244">
        <v>242</v>
      </c>
      <c r="B244" t="s">
        <v>91</v>
      </c>
      <c r="C244" t="s">
        <v>3</v>
      </c>
      <c r="D244">
        <v>0</v>
      </c>
      <c r="E244">
        <v>2.7207699999999999</v>
      </c>
    </row>
    <row r="245" spans="1:5" x14ac:dyDescent="0.2">
      <c r="A245">
        <v>243</v>
      </c>
      <c r="B245" t="s">
        <v>91</v>
      </c>
      <c r="C245" t="s">
        <v>4</v>
      </c>
      <c r="D245">
        <v>0</v>
      </c>
      <c r="E245">
        <v>17.4374608459493</v>
      </c>
    </row>
    <row r="246" spans="1:5" x14ac:dyDescent="0.2">
      <c r="A246">
        <v>244</v>
      </c>
      <c r="B246" t="s">
        <v>91</v>
      </c>
      <c r="C246" t="s">
        <v>5</v>
      </c>
      <c r="D246">
        <v>0</v>
      </c>
      <c r="E246">
        <v>0</v>
      </c>
    </row>
    <row r="247" spans="1:5" x14ac:dyDescent="0.2">
      <c r="A247">
        <v>245</v>
      </c>
      <c r="B247" t="s">
        <v>91</v>
      </c>
      <c r="C247" t="s">
        <v>9</v>
      </c>
      <c r="D247">
        <v>0.03</v>
      </c>
      <c r="E247">
        <v>3</v>
      </c>
    </row>
    <row r="248" spans="1:5" x14ac:dyDescent="0.2">
      <c r="A248">
        <v>246</v>
      </c>
      <c r="B248" t="s">
        <v>91</v>
      </c>
      <c r="C248" t="s">
        <v>7</v>
      </c>
      <c r="D248">
        <v>0</v>
      </c>
      <c r="E248">
        <v>135.58926108993799</v>
      </c>
    </row>
    <row r="249" spans="1:5" x14ac:dyDescent="0.2">
      <c r="A249">
        <v>247</v>
      </c>
      <c r="B249" t="s">
        <v>91</v>
      </c>
      <c r="C249" t="s">
        <v>14</v>
      </c>
      <c r="D249">
        <v>0</v>
      </c>
      <c r="E249">
        <v>0</v>
      </c>
    </row>
    <row r="250" spans="1:5" x14ac:dyDescent="0.2">
      <c r="A250">
        <v>248</v>
      </c>
      <c r="B250" t="s">
        <v>91</v>
      </c>
      <c r="C250" t="s">
        <v>6</v>
      </c>
      <c r="D250">
        <v>0</v>
      </c>
      <c r="E250">
        <v>36.581999992199997</v>
      </c>
    </row>
    <row r="251" spans="1:5" x14ac:dyDescent="0.2">
      <c r="A251">
        <v>249</v>
      </c>
      <c r="B251" t="s">
        <v>139</v>
      </c>
      <c r="C251" t="s">
        <v>10</v>
      </c>
      <c r="D251">
        <v>0</v>
      </c>
      <c r="E251">
        <v>43.104761304761901</v>
      </c>
    </row>
    <row r="252" spans="1:5" x14ac:dyDescent="0.2">
      <c r="A252">
        <v>250</v>
      </c>
      <c r="B252" t="s">
        <v>139</v>
      </c>
      <c r="C252" t="s">
        <v>14</v>
      </c>
      <c r="D252">
        <v>1.0143798104416599</v>
      </c>
      <c r="E252">
        <v>1014.37981044166</v>
      </c>
    </row>
    <row r="253" spans="1:5" x14ac:dyDescent="0.2">
      <c r="A253">
        <v>251</v>
      </c>
      <c r="B253" t="s">
        <v>92</v>
      </c>
      <c r="C253" t="s">
        <v>8</v>
      </c>
      <c r="D253">
        <v>0.31820768448650599</v>
      </c>
      <c r="E253">
        <v>45.417475886989401</v>
      </c>
    </row>
    <row r="254" spans="1:5" x14ac:dyDescent="0.2">
      <c r="A254">
        <v>252</v>
      </c>
      <c r="B254" t="s">
        <v>92</v>
      </c>
      <c r="C254" t="s">
        <v>10</v>
      </c>
      <c r="D254">
        <v>0</v>
      </c>
      <c r="E254">
        <v>0</v>
      </c>
    </row>
    <row r="255" spans="1:5" x14ac:dyDescent="0.2">
      <c r="A255">
        <v>253</v>
      </c>
      <c r="B255" t="s">
        <v>92</v>
      </c>
      <c r="C255" t="s">
        <v>12</v>
      </c>
      <c r="D255">
        <v>0</v>
      </c>
      <c r="E255">
        <v>0</v>
      </c>
    </row>
    <row r="256" spans="1:5" x14ac:dyDescent="0.2">
      <c r="A256">
        <v>254</v>
      </c>
      <c r="B256" t="s">
        <v>92</v>
      </c>
      <c r="C256" t="s">
        <v>11</v>
      </c>
      <c r="D256">
        <v>0</v>
      </c>
      <c r="E256">
        <v>0</v>
      </c>
    </row>
    <row r="257" spans="1:8" x14ac:dyDescent="0.2">
      <c r="A257">
        <v>255</v>
      </c>
      <c r="B257" t="s">
        <v>92</v>
      </c>
      <c r="C257" t="s">
        <v>3</v>
      </c>
      <c r="D257">
        <v>0</v>
      </c>
      <c r="E257">
        <v>0.33318999999999999</v>
      </c>
    </row>
    <row r="258" spans="1:8" x14ac:dyDescent="0.2">
      <c r="A258">
        <v>256</v>
      </c>
      <c r="B258" t="s">
        <v>92</v>
      </c>
      <c r="C258" t="s">
        <v>4</v>
      </c>
      <c r="D258">
        <v>0</v>
      </c>
      <c r="E258">
        <v>0</v>
      </c>
    </row>
    <row r="259" spans="1:8" x14ac:dyDescent="0.2">
      <c r="A259">
        <v>257</v>
      </c>
      <c r="B259" t="s">
        <v>92</v>
      </c>
      <c r="C259" t="s">
        <v>13</v>
      </c>
      <c r="D259" s="1">
        <v>1.05403678196996E-17</v>
      </c>
      <c r="E259" s="1">
        <v>1.05403678196996E-14</v>
      </c>
      <c r="F259">
        <f>D259/2*10^6</f>
        <v>5.2701839098497997E-12</v>
      </c>
      <c r="H259">
        <f>D259/4*10^6</f>
        <v>2.6350919549248998E-12</v>
      </c>
    </row>
    <row r="260" spans="1:8" x14ac:dyDescent="0.2">
      <c r="A260">
        <v>258</v>
      </c>
      <c r="B260" t="s">
        <v>92</v>
      </c>
      <c r="C260" t="s">
        <v>7</v>
      </c>
      <c r="D260">
        <v>0</v>
      </c>
      <c r="E260">
        <v>178.23824435622601</v>
      </c>
    </row>
    <row r="261" spans="1:8" x14ac:dyDescent="0.2">
      <c r="A261">
        <v>259</v>
      </c>
      <c r="B261" t="s">
        <v>92</v>
      </c>
      <c r="C261" t="s">
        <v>14</v>
      </c>
      <c r="D261">
        <v>0</v>
      </c>
      <c r="E261">
        <v>0</v>
      </c>
    </row>
    <row r="262" spans="1:8" x14ac:dyDescent="0.2">
      <c r="A262">
        <v>260</v>
      </c>
      <c r="B262" t="s">
        <v>92</v>
      </c>
      <c r="C262" t="s">
        <v>6</v>
      </c>
      <c r="D262">
        <v>0</v>
      </c>
      <c r="E262">
        <v>35.7760000026</v>
      </c>
    </row>
    <row r="263" spans="1:8" x14ac:dyDescent="0.2">
      <c r="A263">
        <v>261</v>
      </c>
      <c r="B263" t="s">
        <v>140</v>
      </c>
      <c r="C263" t="s">
        <v>10</v>
      </c>
      <c r="D263">
        <v>0</v>
      </c>
      <c r="E263">
        <v>30.075103801420699</v>
      </c>
    </row>
    <row r="264" spans="1:8" x14ac:dyDescent="0.2">
      <c r="A264">
        <v>262</v>
      </c>
      <c r="B264" t="s">
        <v>140</v>
      </c>
      <c r="C264" t="s">
        <v>13</v>
      </c>
      <c r="D264">
        <v>3.6625947232501699</v>
      </c>
      <c r="E264">
        <v>3662.5947232501699</v>
      </c>
      <c r="F264">
        <f>D264/2*10^6</f>
        <v>1831297.3616250849</v>
      </c>
      <c r="H264">
        <f>D264/4*10^6</f>
        <v>915648.68081254244</v>
      </c>
    </row>
    <row r="265" spans="1:8" x14ac:dyDescent="0.2">
      <c r="A265">
        <v>263</v>
      </c>
      <c r="B265" t="s">
        <v>140</v>
      </c>
      <c r="C265" t="s">
        <v>14</v>
      </c>
      <c r="D265">
        <v>0</v>
      </c>
      <c r="E265">
        <v>0</v>
      </c>
    </row>
    <row r="266" spans="1:8" x14ac:dyDescent="0.2">
      <c r="A266">
        <v>264</v>
      </c>
      <c r="B266" t="s">
        <v>93</v>
      </c>
      <c r="C266" t="s">
        <v>8</v>
      </c>
      <c r="D266">
        <v>0</v>
      </c>
      <c r="E266">
        <v>0</v>
      </c>
    </row>
    <row r="267" spans="1:8" x14ac:dyDescent="0.2">
      <c r="A267">
        <v>265</v>
      </c>
      <c r="B267" t="s">
        <v>93</v>
      </c>
      <c r="C267" t="s">
        <v>10</v>
      </c>
      <c r="D267">
        <v>0</v>
      </c>
      <c r="E267">
        <v>304.36532602171701</v>
      </c>
    </row>
    <row r="268" spans="1:8" x14ac:dyDescent="0.2">
      <c r="A268">
        <v>266</v>
      </c>
      <c r="B268" t="s">
        <v>93</v>
      </c>
      <c r="C268" t="s">
        <v>12</v>
      </c>
      <c r="D268">
        <v>0</v>
      </c>
      <c r="E268">
        <v>0</v>
      </c>
    </row>
    <row r="269" spans="1:8" x14ac:dyDescent="0.2">
      <c r="A269">
        <v>267</v>
      </c>
      <c r="B269" t="s">
        <v>93</v>
      </c>
      <c r="C269" t="s">
        <v>11</v>
      </c>
      <c r="D269">
        <v>0</v>
      </c>
      <c r="E269">
        <v>0</v>
      </c>
    </row>
    <row r="270" spans="1:8" x14ac:dyDescent="0.2">
      <c r="A270">
        <v>268</v>
      </c>
      <c r="B270" t="s">
        <v>93</v>
      </c>
      <c r="C270" t="s">
        <v>3</v>
      </c>
      <c r="D270">
        <v>0</v>
      </c>
      <c r="E270">
        <v>11.4233999999999</v>
      </c>
    </row>
    <row r="271" spans="1:8" x14ac:dyDescent="0.2">
      <c r="A271">
        <v>269</v>
      </c>
      <c r="B271" t="s">
        <v>93</v>
      </c>
      <c r="C271" t="s">
        <v>4</v>
      </c>
      <c r="D271">
        <v>0</v>
      </c>
      <c r="E271">
        <v>0</v>
      </c>
    </row>
    <row r="272" spans="1:8" x14ac:dyDescent="0.2">
      <c r="A272">
        <v>270</v>
      </c>
      <c r="B272" t="s">
        <v>93</v>
      </c>
      <c r="C272" t="s">
        <v>7</v>
      </c>
      <c r="D272">
        <v>0</v>
      </c>
      <c r="E272">
        <v>1791.6</v>
      </c>
    </row>
    <row r="273" spans="1:8" x14ac:dyDescent="0.2">
      <c r="A273">
        <v>271</v>
      </c>
      <c r="B273" t="s">
        <v>93</v>
      </c>
      <c r="C273" t="s">
        <v>14</v>
      </c>
      <c r="D273">
        <v>0</v>
      </c>
      <c r="E273">
        <v>0</v>
      </c>
    </row>
    <row r="274" spans="1:8" x14ac:dyDescent="0.2">
      <c r="A274">
        <v>272</v>
      </c>
      <c r="B274" t="s">
        <v>93</v>
      </c>
      <c r="C274" t="s">
        <v>6</v>
      </c>
      <c r="D274">
        <v>0</v>
      </c>
      <c r="E274">
        <v>134.00444739840901</v>
      </c>
    </row>
    <row r="275" spans="1:8" x14ac:dyDescent="0.2">
      <c r="A275">
        <v>273</v>
      </c>
      <c r="B275" t="s">
        <v>141</v>
      </c>
      <c r="C275" t="s">
        <v>10</v>
      </c>
      <c r="D275">
        <v>0</v>
      </c>
      <c r="E275">
        <v>13.487994559920599</v>
      </c>
    </row>
    <row r="276" spans="1:8" x14ac:dyDescent="0.2">
      <c r="A276">
        <v>274</v>
      </c>
      <c r="B276" t="s">
        <v>141</v>
      </c>
      <c r="C276" t="s">
        <v>14</v>
      </c>
      <c r="D276">
        <v>0.33976448268194398</v>
      </c>
      <c r="E276">
        <v>339.764482681944</v>
      </c>
    </row>
    <row r="277" spans="1:8" x14ac:dyDescent="0.2">
      <c r="A277">
        <v>275</v>
      </c>
      <c r="B277" t="s">
        <v>94</v>
      </c>
      <c r="C277" t="s">
        <v>8</v>
      </c>
      <c r="D277">
        <v>0.54396235371548995</v>
      </c>
      <c r="E277">
        <v>77.639222079663298</v>
      </c>
    </row>
    <row r="278" spans="1:8" x14ac:dyDescent="0.2">
      <c r="A278">
        <v>276</v>
      </c>
      <c r="B278" t="s">
        <v>94</v>
      </c>
      <c r="C278" t="s">
        <v>10</v>
      </c>
      <c r="D278">
        <v>0</v>
      </c>
      <c r="E278">
        <v>0</v>
      </c>
    </row>
    <row r="279" spans="1:8" x14ac:dyDescent="0.2">
      <c r="A279">
        <v>277</v>
      </c>
      <c r="B279" t="s">
        <v>94</v>
      </c>
      <c r="C279" t="s">
        <v>12</v>
      </c>
      <c r="D279">
        <v>0</v>
      </c>
      <c r="E279">
        <v>0</v>
      </c>
    </row>
    <row r="280" spans="1:8" x14ac:dyDescent="0.2">
      <c r="A280">
        <v>278</v>
      </c>
      <c r="B280" t="s">
        <v>94</v>
      </c>
      <c r="C280" t="s">
        <v>11</v>
      </c>
      <c r="D280">
        <v>0</v>
      </c>
      <c r="E280">
        <v>0</v>
      </c>
    </row>
    <row r="281" spans="1:8" x14ac:dyDescent="0.2">
      <c r="A281">
        <v>279</v>
      </c>
      <c r="B281" t="s">
        <v>94</v>
      </c>
      <c r="C281" t="s">
        <v>3</v>
      </c>
      <c r="D281">
        <v>0</v>
      </c>
      <c r="E281">
        <v>3.7328699999999899</v>
      </c>
    </row>
    <row r="282" spans="1:8" x14ac:dyDescent="0.2">
      <c r="A282">
        <v>280</v>
      </c>
      <c r="B282" t="s">
        <v>94</v>
      </c>
      <c r="C282" t="s">
        <v>4</v>
      </c>
      <c r="D282">
        <v>0</v>
      </c>
      <c r="E282">
        <v>0</v>
      </c>
    </row>
    <row r="283" spans="1:8" x14ac:dyDescent="0.2">
      <c r="A283">
        <v>281</v>
      </c>
      <c r="B283" t="s">
        <v>94</v>
      </c>
      <c r="C283" t="s">
        <v>9</v>
      </c>
      <c r="D283">
        <v>1.4E-2</v>
      </c>
      <c r="E283">
        <v>1.4</v>
      </c>
    </row>
    <row r="284" spans="1:8" x14ac:dyDescent="0.2">
      <c r="A284">
        <v>282</v>
      </c>
      <c r="B284" t="s">
        <v>94</v>
      </c>
      <c r="C284" t="s">
        <v>13</v>
      </c>
      <c r="D284">
        <v>0</v>
      </c>
      <c r="E284">
        <v>0</v>
      </c>
      <c r="F284">
        <f>D284/2*10^6</f>
        <v>0</v>
      </c>
      <c r="H284">
        <f>D284/4*10^6</f>
        <v>0</v>
      </c>
    </row>
    <row r="285" spans="1:8" x14ac:dyDescent="0.2">
      <c r="A285">
        <v>283</v>
      </c>
      <c r="B285" t="s">
        <v>94</v>
      </c>
      <c r="C285" t="s">
        <v>7</v>
      </c>
      <c r="D285">
        <v>0</v>
      </c>
      <c r="E285">
        <v>2.3000000001999998</v>
      </c>
    </row>
    <row r="286" spans="1:8" x14ac:dyDescent="0.2">
      <c r="A286">
        <v>284</v>
      </c>
      <c r="B286" t="s">
        <v>94</v>
      </c>
      <c r="C286" t="s">
        <v>14</v>
      </c>
      <c r="D286">
        <v>0</v>
      </c>
      <c r="E286">
        <v>0</v>
      </c>
    </row>
    <row r="287" spans="1:8" x14ac:dyDescent="0.2">
      <c r="A287">
        <v>285</v>
      </c>
      <c r="B287" t="s">
        <v>94</v>
      </c>
      <c r="C287" t="s">
        <v>6</v>
      </c>
      <c r="D287">
        <v>0</v>
      </c>
      <c r="E287">
        <v>91.156000000000006</v>
      </c>
    </row>
    <row r="288" spans="1:8" x14ac:dyDescent="0.2">
      <c r="A288">
        <v>286</v>
      </c>
      <c r="B288" t="s">
        <v>142</v>
      </c>
      <c r="C288" t="s">
        <v>10</v>
      </c>
      <c r="D288">
        <v>0</v>
      </c>
      <c r="E288">
        <v>43.171772337596998</v>
      </c>
    </row>
    <row r="289" spans="1:8" x14ac:dyDescent="0.2">
      <c r="A289">
        <v>287</v>
      </c>
      <c r="B289" t="s">
        <v>142</v>
      </c>
      <c r="C289" t="s">
        <v>13</v>
      </c>
      <c r="D289">
        <v>8.4106653740827202</v>
      </c>
      <c r="E289">
        <v>8410.6653740827296</v>
      </c>
      <c r="F289">
        <f>D289/2*10^6</f>
        <v>4205332.68704136</v>
      </c>
      <c r="H289">
        <f>D289/4*10^6</f>
        <v>2102666.34352068</v>
      </c>
    </row>
    <row r="290" spans="1:8" x14ac:dyDescent="0.2">
      <c r="A290">
        <v>288</v>
      </c>
      <c r="B290" t="s">
        <v>142</v>
      </c>
      <c r="C290" t="s">
        <v>14</v>
      </c>
      <c r="D290">
        <v>0</v>
      </c>
      <c r="E290">
        <v>0</v>
      </c>
    </row>
    <row r="291" spans="1:8" x14ac:dyDescent="0.2">
      <c r="A291">
        <v>289</v>
      </c>
      <c r="B291" t="s">
        <v>95</v>
      </c>
      <c r="C291" t="s">
        <v>8</v>
      </c>
      <c r="D291">
        <v>0.43697458344922202</v>
      </c>
      <c r="E291">
        <v>70.764654487381407</v>
      </c>
    </row>
    <row r="292" spans="1:8" x14ac:dyDescent="0.2">
      <c r="A292">
        <v>290</v>
      </c>
      <c r="B292" t="s">
        <v>95</v>
      </c>
      <c r="C292" t="s">
        <v>10</v>
      </c>
      <c r="D292">
        <v>0</v>
      </c>
      <c r="E292">
        <v>0</v>
      </c>
    </row>
    <row r="293" spans="1:8" x14ac:dyDescent="0.2">
      <c r="A293">
        <v>291</v>
      </c>
      <c r="B293" t="s">
        <v>95</v>
      </c>
      <c r="C293" t="s">
        <v>12</v>
      </c>
      <c r="D293">
        <v>0</v>
      </c>
      <c r="E293">
        <v>0</v>
      </c>
    </row>
    <row r="294" spans="1:8" x14ac:dyDescent="0.2">
      <c r="A294">
        <v>292</v>
      </c>
      <c r="B294" t="s">
        <v>95</v>
      </c>
      <c r="C294" t="s">
        <v>11</v>
      </c>
      <c r="D294">
        <v>0</v>
      </c>
      <c r="E294">
        <v>114.96833006316599</v>
      </c>
    </row>
    <row r="295" spans="1:8" x14ac:dyDescent="0.2">
      <c r="A295">
        <v>293</v>
      </c>
      <c r="B295" t="s">
        <v>95</v>
      </c>
      <c r="C295" t="s">
        <v>3</v>
      </c>
      <c r="D295">
        <v>0</v>
      </c>
      <c r="E295">
        <v>1.0896399999999999</v>
      </c>
    </row>
    <row r="296" spans="1:8" x14ac:dyDescent="0.2">
      <c r="A296">
        <v>294</v>
      </c>
      <c r="B296" t="s">
        <v>95</v>
      </c>
      <c r="C296" t="s">
        <v>4</v>
      </c>
      <c r="D296">
        <v>0</v>
      </c>
      <c r="E296">
        <v>0</v>
      </c>
    </row>
    <row r="297" spans="1:8" x14ac:dyDescent="0.2">
      <c r="A297">
        <v>295</v>
      </c>
      <c r="B297" t="s">
        <v>95</v>
      </c>
      <c r="C297" t="s">
        <v>5</v>
      </c>
      <c r="D297">
        <v>0</v>
      </c>
      <c r="E297">
        <v>328.00451600000002</v>
      </c>
    </row>
    <row r="298" spans="1:8" x14ac:dyDescent="0.2">
      <c r="A298">
        <v>296</v>
      </c>
      <c r="B298" t="s">
        <v>95</v>
      </c>
      <c r="C298" t="s">
        <v>9</v>
      </c>
      <c r="D298">
        <v>0.04</v>
      </c>
      <c r="E298">
        <v>4</v>
      </c>
    </row>
    <row r="299" spans="1:8" x14ac:dyDescent="0.2">
      <c r="A299">
        <v>297</v>
      </c>
      <c r="B299" t="s">
        <v>95</v>
      </c>
      <c r="C299" t="s">
        <v>13</v>
      </c>
      <c r="D299">
        <v>31.294628656941399</v>
      </c>
      <c r="E299">
        <v>31294.628656941401</v>
      </c>
      <c r="F299">
        <f>D299/2*10^6</f>
        <v>15647314.328470699</v>
      </c>
      <c r="H299">
        <f>D299/4*10^6</f>
        <v>7823657.1642353497</v>
      </c>
    </row>
    <row r="300" spans="1:8" x14ac:dyDescent="0.2">
      <c r="A300">
        <v>298</v>
      </c>
      <c r="B300" t="s">
        <v>95</v>
      </c>
      <c r="C300" t="s">
        <v>7</v>
      </c>
      <c r="D300">
        <v>0</v>
      </c>
      <c r="E300">
        <v>331.7</v>
      </c>
    </row>
    <row r="301" spans="1:8" x14ac:dyDescent="0.2">
      <c r="A301">
        <v>299</v>
      </c>
      <c r="B301" t="s">
        <v>95</v>
      </c>
      <c r="C301" t="s">
        <v>14</v>
      </c>
      <c r="D301">
        <v>0</v>
      </c>
      <c r="E301">
        <v>0</v>
      </c>
    </row>
    <row r="302" spans="1:8" x14ac:dyDescent="0.2">
      <c r="A302">
        <v>300</v>
      </c>
      <c r="B302" t="s">
        <v>95</v>
      </c>
      <c r="C302" t="s">
        <v>6</v>
      </c>
      <c r="D302">
        <v>0</v>
      </c>
      <c r="E302">
        <v>22.905999999220001</v>
      </c>
    </row>
    <row r="303" spans="1:8" x14ac:dyDescent="0.2">
      <c r="A303">
        <v>301</v>
      </c>
      <c r="B303" t="s">
        <v>143</v>
      </c>
      <c r="C303" t="s">
        <v>10</v>
      </c>
      <c r="D303">
        <v>0</v>
      </c>
      <c r="E303">
        <v>114.16657602458601</v>
      </c>
    </row>
    <row r="304" spans="1:8" x14ac:dyDescent="0.2">
      <c r="A304">
        <v>302</v>
      </c>
      <c r="B304" t="s">
        <v>143</v>
      </c>
      <c r="C304" t="s">
        <v>13</v>
      </c>
      <c r="D304">
        <v>29.330287690897801</v>
      </c>
      <c r="E304">
        <v>29330.2876908978</v>
      </c>
      <c r="F304">
        <f>D304/2*10^6</f>
        <v>14665143.8454489</v>
      </c>
      <c r="H304">
        <f>D304/4*10^6</f>
        <v>7332571.92272445</v>
      </c>
    </row>
    <row r="305" spans="1:5" x14ac:dyDescent="0.2">
      <c r="A305">
        <v>303</v>
      </c>
      <c r="B305" t="s">
        <v>143</v>
      </c>
      <c r="C305" t="s">
        <v>14</v>
      </c>
      <c r="D305">
        <v>0</v>
      </c>
      <c r="E305">
        <v>0</v>
      </c>
    </row>
    <row r="306" spans="1:5" x14ac:dyDescent="0.2">
      <c r="A306">
        <v>304</v>
      </c>
      <c r="B306" t="s">
        <v>96</v>
      </c>
      <c r="C306" t="s">
        <v>8</v>
      </c>
      <c r="D306">
        <v>0</v>
      </c>
      <c r="E306">
        <v>0</v>
      </c>
    </row>
    <row r="307" spans="1:5" x14ac:dyDescent="0.2">
      <c r="A307">
        <v>305</v>
      </c>
      <c r="B307" t="s">
        <v>96</v>
      </c>
      <c r="C307" t="s">
        <v>10</v>
      </c>
      <c r="D307">
        <v>0</v>
      </c>
      <c r="E307">
        <v>0</v>
      </c>
    </row>
    <row r="308" spans="1:5" x14ac:dyDescent="0.2">
      <c r="A308">
        <v>306</v>
      </c>
      <c r="B308" t="s">
        <v>96</v>
      </c>
      <c r="C308" t="s">
        <v>12</v>
      </c>
      <c r="D308">
        <v>0</v>
      </c>
      <c r="E308">
        <v>0</v>
      </c>
    </row>
    <row r="309" spans="1:5" x14ac:dyDescent="0.2">
      <c r="A309">
        <v>307</v>
      </c>
      <c r="B309" t="s">
        <v>96</v>
      </c>
      <c r="C309" t="s">
        <v>11</v>
      </c>
      <c r="D309">
        <v>0</v>
      </c>
      <c r="E309">
        <v>65.570099584979801</v>
      </c>
    </row>
    <row r="310" spans="1:5" x14ac:dyDescent="0.2">
      <c r="A310">
        <v>308</v>
      </c>
      <c r="B310" t="s">
        <v>96</v>
      </c>
      <c r="C310" t="s">
        <v>5</v>
      </c>
      <c r="D310">
        <v>0</v>
      </c>
      <c r="E310">
        <v>24.182445825092699</v>
      </c>
    </row>
    <row r="311" spans="1:5" x14ac:dyDescent="0.2">
      <c r="A311">
        <v>309</v>
      </c>
      <c r="B311" t="s">
        <v>96</v>
      </c>
      <c r="C311" t="s">
        <v>7</v>
      </c>
      <c r="D311">
        <v>0</v>
      </c>
      <c r="E311">
        <v>10.201000000000001</v>
      </c>
    </row>
    <row r="312" spans="1:5" x14ac:dyDescent="0.2">
      <c r="A312">
        <v>310</v>
      </c>
      <c r="B312" t="s">
        <v>96</v>
      </c>
      <c r="C312" t="s">
        <v>14</v>
      </c>
      <c r="D312">
        <v>0</v>
      </c>
      <c r="E312">
        <v>0</v>
      </c>
    </row>
    <row r="313" spans="1:5" x14ac:dyDescent="0.2">
      <c r="A313">
        <v>311</v>
      </c>
      <c r="B313" t="s">
        <v>96</v>
      </c>
      <c r="C313" t="s">
        <v>6</v>
      </c>
      <c r="D313">
        <v>0</v>
      </c>
      <c r="E313">
        <v>0</v>
      </c>
    </row>
    <row r="314" spans="1:5" x14ac:dyDescent="0.2">
      <c r="A314">
        <v>312</v>
      </c>
      <c r="B314" t="s">
        <v>144</v>
      </c>
      <c r="C314" t="s">
        <v>10</v>
      </c>
      <c r="D314">
        <v>0</v>
      </c>
      <c r="E314">
        <v>26.194319066666601</v>
      </c>
    </row>
    <row r="315" spans="1:5" x14ac:dyDescent="0.2">
      <c r="A315">
        <v>313</v>
      </c>
      <c r="B315" t="s">
        <v>144</v>
      </c>
      <c r="C315" t="s">
        <v>14</v>
      </c>
      <c r="D315">
        <v>0.608422592866666</v>
      </c>
      <c r="E315">
        <v>608.42259286666604</v>
      </c>
    </row>
    <row r="316" spans="1:5" x14ac:dyDescent="0.2">
      <c r="A316">
        <v>314</v>
      </c>
      <c r="B316" t="s">
        <v>97</v>
      </c>
      <c r="C316" t="s">
        <v>8</v>
      </c>
      <c r="D316">
        <v>0.63345015761348</v>
      </c>
      <c r="E316">
        <v>90.411730016657899</v>
      </c>
    </row>
    <row r="317" spans="1:5" x14ac:dyDescent="0.2">
      <c r="A317">
        <v>315</v>
      </c>
      <c r="B317" t="s">
        <v>97</v>
      </c>
      <c r="C317" t="s">
        <v>10</v>
      </c>
      <c r="D317">
        <v>0</v>
      </c>
      <c r="E317">
        <v>0</v>
      </c>
    </row>
    <row r="318" spans="1:5" x14ac:dyDescent="0.2">
      <c r="A318">
        <v>316</v>
      </c>
      <c r="B318" t="s">
        <v>97</v>
      </c>
      <c r="C318" t="s">
        <v>12</v>
      </c>
      <c r="D318">
        <v>0</v>
      </c>
      <c r="E318">
        <v>0</v>
      </c>
    </row>
    <row r="319" spans="1:5" x14ac:dyDescent="0.2">
      <c r="A319">
        <v>317</v>
      </c>
      <c r="B319" t="s">
        <v>97</v>
      </c>
      <c r="C319" t="s">
        <v>11</v>
      </c>
      <c r="D319">
        <v>0</v>
      </c>
      <c r="E319">
        <v>0</v>
      </c>
    </row>
    <row r="320" spans="1:5" x14ac:dyDescent="0.2">
      <c r="A320">
        <v>318</v>
      </c>
      <c r="B320" t="s">
        <v>97</v>
      </c>
      <c r="C320" t="s">
        <v>3</v>
      </c>
      <c r="D320">
        <v>0</v>
      </c>
      <c r="E320">
        <v>2.5064899999999999</v>
      </c>
    </row>
    <row r="321" spans="1:8" x14ac:dyDescent="0.2">
      <c r="A321">
        <v>319</v>
      </c>
      <c r="B321" t="s">
        <v>97</v>
      </c>
      <c r="C321" t="s">
        <v>4</v>
      </c>
      <c r="D321">
        <v>0</v>
      </c>
      <c r="E321">
        <v>0</v>
      </c>
    </row>
    <row r="322" spans="1:8" x14ac:dyDescent="0.2">
      <c r="A322">
        <v>320</v>
      </c>
      <c r="B322" t="s">
        <v>97</v>
      </c>
      <c r="C322" t="s">
        <v>9</v>
      </c>
      <c r="D322">
        <v>2.48518E-2</v>
      </c>
      <c r="E322">
        <v>2.4851800000000002</v>
      </c>
    </row>
    <row r="323" spans="1:8" x14ac:dyDescent="0.2">
      <c r="A323">
        <v>321</v>
      </c>
      <c r="B323" t="s">
        <v>97</v>
      </c>
      <c r="C323" t="s">
        <v>7</v>
      </c>
      <c r="D323">
        <v>0</v>
      </c>
      <c r="E323">
        <v>123.806859441242</v>
      </c>
    </row>
    <row r="324" spans="1:8" x14ac:dyDescent="0.2">
      <c r="A324">
        <v>322</v>
      </c>
      <c r="B324" t="s">
        <v>97</v>
      </c>
      <c r="C324" t="s">
        <v>14</v>
      </c>
      <c r="D324">
        <v>0</v>
      </c>
      <c r="E324">
        <v>0</v>
      </c>
    </row>
    <row r="325" spans="1:8" x14ac:dyDescent="0.2">
      <c r="A325">
        <v>323</v>
      </c>
      <c r="B325" t="s">
        <v>97</v>
      </c>
      <c r="C325" t="s">
        <v>6</v>
      </c>
      <c r="D325">
        <v>0</v>
      </c>
      <c r="E325">
        <v>36.980346962088603</v>
      </c>
    </row>
    <row r="326" spans="1:8" x14ac:dyDescent="0.2">
      <c r="A326">
        <v>324</v>
      </c>
      <c r="B326" t="s">
        <v>145</v>
      </c>
      <c r="C326" t="s">
        <v>10</v>
      </c>
      <c r="D326">
        <v>0</v>
      </c>
      <c r="E326">
        <v>44.338051769047503</v>
      </c>
    </row>
    <row r="327" spans="1:8" x14ac:dyDescent="0.2">
      <c r="A327">
        <v>325</v>
      </c>
      <c r="B327" t="s">
        <v>145</v>
      </c>
      <c r="C327" t="s">
        <v>14</v>
      </c>
      <c r="D327">
        <v>1.1168817688583299</v>
      </c>
      <c r="E327">
        <v>1116.8817688583299</v>
      </c>
    </row>
    <row r="328" spans="1:8" x14ac:dyDescent="0.2">
      <c r="A328">
        <v>326</v>
      </c>
      <c r="B328" t="s">
        <v>98</v>
      </c>
      <c r="C328" t="s">
        <v>8</v>
      </c>
      <c r="D328">
        <v>0.113409239513357</v>
      </c>
      <c r="E328">
        <v>16.1867913695155</v>
      </c>
    </row>
    <row r="329" spans="1:8" x14ac:dyDescent="0.2">
      <c r="A329">
        <v>327</v>
      </c>
      <c r="B329" t="s">
        <v>98</v>
      </c>
      <c r="C329" t="s">
        <v>10</v>
      </c>
      <c r="D329">
        <v>0</v>
      </c>
      <c r="E329">
        <v>0</v>
      </c>
    </row>
    <row r="330" spans="1:8" x14ac:dyDescent="0.2">
      <c r="A330">
        <v>328</v>
      </c>
      <c r="B330" t="s">
        <v>98</v>
      </c>
      <c r="C330" t="s">
        <v>12</v>
      </c>
      <c r="D330">
        <v>0</v>
      </c>
      <c r="E330">
        <v>0</v>
      </c>
    </row>
    <row r="331" spans="1:8" x14ac:dyDescent="0.2">
      <c r="A331">
        <v>329</v>
      </c>
      <c r="B331" t="s">
        <v>98</v>
      </c>
      <c r="C331" t="s">
        <v>11</v>
      </c>
      <c r="D331">
        <v>0</v>
      </c>
      <c r="E331" s="1">
        <v>2.0210993372731699E-15</v>
      </c>
    </row>
    <row r="332" spans="1:8" x14ac:dyDescent="0.2">
      <c r="A332">
        <v>330</v>
      </c>
      <c r="B332" t="s">
        <v>98</v>
      </c>
      <c r="C332" t="s">
        <v>3</v>
      </c>
      <c r="D332">
        <v>0</v>
      </c>
      <c r="E332">
        <v>95.660560000000004</v>
      </c>
    </row>
    <row r="333" spans="1:8" x14ac:dyDescent="0.2">
      <c r="A333">
        <v>331</v>
      </c>
      <c r="B333" t="s">
        <v>98</v>
      </c>
      <c r="C333" t="s">
        <v>4</v>
      </c>
      <c r="D333">
        <v>0</v>
      </c>
      <c r="E333">
        <v>0</v>
      </c>
    </row>
    <row r="334" spans="1:8" x14ac:dyDescent="0.2">
      <c r="A334">
        <v>332</v>
      </c>
      <c r="B334" t="s">
        <v>98</v>
      </c>
      <c r="C334" t="s">
        <v>9</v>
      </c>
      <c r="D334" s="1">
        <v>2.0000000000000002E-5</v>
      </c>
      <c r="E334">
        <v>2E-3</v>
      </c>
    </row>
    <row r="335" spans="1:8" x14ac:dyDescent="0.2">
      <c r="A335">
        <v>333</v>
      </c>
      <c r="B335" t="s">
        <v>98</v>
      </c>
      <c r="C335" t="s">
        <v>13</v>
      </c>
      <c r="D335">
        <v>0.72336159790634702</v>
      </c>
      <c r="E335">
        <v>723.36159790634701</v>
      </c>
      <c r="F335">
        <f>D335/2*10^6</f>
        <v>361680.79895317351</v>
      </c>
      <c r="H335">
        <f>D335/4*10^6</f>
        <v>180840.39947658675</v>
      </c>
    </row>
    <row r="336" spans="1:8" x14ac:dyDescent="0.2">
      <c r="A336">
        <v>334</v>
      </c>
      <c r="B336" t="s">
        <v>98</v>
      </c>
      <c r="C336" t="s">
        <v>7</v>
      </c>
      <c r="D336">
        <v>0</v>
      </c>
      <c r="E336">
        <v>124.5999999902</v>
      </c>
    </row>
    <row r="337" spans="1:8" x14ac:dyDescent="0.2">
      <c r="A337">
        <v>335</v>
      </c>
      <c r="B337" t="s">
        <v>98</v>
      </c>
      <c r="C337" t="s">
        <v>14</v>
      </c>
      <c r="D337">
        <v>0</v>
      </c>
      <c r="E337">
        <v>0</v>
      </c>
    </row>
    <row r="338" spans="1:8" x14ac:dyDescent="0.2">
      <c r="A338">
        <v>336</v>
      </c>
      <c r="B338" t="s">
        <v>98</v>
      </c>
      <c r="C338" t="s">
        <v>6</v>
      </c>
      <c r="D338">
        <v>0</v>
      </c>
      <c r="E338">
        <v>33.748000002600001</v>
      </c>
    </row>
    <row r="339" spans="1:8" x14ac:dyDescent="0.2">
      <c r="A339">
        <v>337</v>
      </c>
      <c r="B339" t="s">
        <v>146</v>
      </c>
      <c r="C339" t="s">
        <v>10</v>
      </c>
      <c r="D339">
        <v>0</v>
      </c>
      <c r="E339">
        <v>46.793030051508801</v>
      </c>
    </row>
    <row r="340" spans="1:8" x14ac:dyDescent="0.2">
      <c r="A340">
        <v>338</v>
      </c>
      <c r="B340" t="s">
        <v>146</v>
      </c>
      <c r="C340" t="s">
        <v>13</v>
      </c>
      <c r="D340">
        <v>8.2486519094293094</v>
      </c>
      <c r="E340">
        <v>8248.6519094293108</v>
      </c>
      <c r="F340">
        <f>D340/2*10^6</f>
        <v>4124325.9547146545</v>
      </c>
      <c r="H340">
        <f>D340/4*10^6</f>
        <v>2062162.9773573272</v>
      </c>
    </row>
    <row r="341" spans="1:8" x14ac:dyDescent="0.2">
      <c r="A341">
        <v>339</v>
      </c>
      <c r="B341" t="s">
        <v>146</v>
      </c>
      <c r="C341" t="s">
        <v>14</v>
      </c>
      <c r="D341">
        <v>0</v>
      </c>
      <c r="E341">
        <v>0</v>
      </c>
    </row>
    <row r="342" spans="1:8" x14ac:dyDescent="0.2">
      <c r="A342">
        <v>340</v>
      </c>
      <c r="B342" t="s">
        <v>99</v>
      </c>
      <c r="C342" t="s">
        <v>8</v>
      </c>
      <c r="D342">
        <v>0.245214162904283</v>
      </c>
      <c r="E342">
        <v>34.999180955750397</v>
      </c>
    </row>
    <row r="343" spans="1:8" x14ac:dyDescent="0.2">
      <c r="A343">
        <v>341</v>
      </c>
      <c r="B343" t="s">
        <v>99</v>
      </c>
      <c r="C343" t="s">
        <v>10</v>
      </c>
      <c r="D343">
        <v>0</v>
      </c>
      <c r="E343">
        <v>0</v>
      </c>
    </row>
    <row r="344" spans="1:8" x14ac:dyDescent="0.2">
      <c r="A344">
        <v>342</v>
      </c>
      <c r="B344" t="s">
        <v>99</v>
      </c>
      <c r="C344" t="s">
        <v>12</v>
      </c>
      <c r="D344">
        <v>0</v>
      </c>
      <c r="E344">
        <v>0</v>
      </c>
    </row>
    <row r="345" spans="1:8" x14ac:dyDescent="0.2">
      <c r="A345">
        <v>343</v>
      </c>
      <c r="B345" t="s">
        <v>99</v>
      </c>
      <c r="C345" t="s">
        <v>11</v>
      </c>
      <c r="D345">
        <v>0</v>
      </c>
      <c r="E345">
        <v>4.8300068862766903</v>
      </c>
    </row>
    <row r="346" spans="1:8" x14ac:dyDescent="0.2">
      <c r="A346">
        <v>344</v>
      </c>
      <c r="B346" t="s">
        <v>99</v>
      </c>
      <c r="C346" t="s">
        <v>3</v>
      </c>
      <c r="D346">
        <v>0</v>
      </c>
      <c r="E346">
        <v>1.6889999999999999E-2</v>
      </c>
    </row>
    <row r="347" spans="1:8" x14ac:dyDescent="0.2">
      <c r="A347">
        <v>345</v>
      </c>
      <c r="B347" t="s">
        <v>99</v>
      </c>
      <c r="C347" t="s">
        <v>5</v>
      </c>
      <c r="D347">
        <v>0</v>
      </c>
      <c r="E347">
        <v>0</v>
      </c>
    </row>
    <row r="348" spans="1:8" x14ac:dyDescent="0.2">
      <c r="A348">
        <v>346</v>
      </c>
      <c r="B348" t="s">
        <v>99</v>
      </c>
      <c r="C348" t="s">
        <v>7</v>
      </c>
      <c r="D348">
        <v>0</v>
      </c>
      <c r="E348">
        <v>10.6</v>
      </c>
    </row>
    <row r="349" spans="1:8" x14ac:dyDescent="0.2">
      <c r="A349">
        <v>347</v>
      </c>
      <c r="B349" t="s">
        <v>99</v>
      </c>
      <c r="C349" t="s">
        <v>14</v>
      </c>
      <c r="D349">
        <v>0</v>
      </c>
      <c r="E349">
        <v>0</v>
      </c>
    </row>
    <row r="350" spans="1:8" x14ac:dyDescent="0.2">
      <c r="A350">
        <v>348</v>
      </c>
      <c r="B350" t="s">
        <v>99</v>
      </c>
      <c r="C350" t="s">
        <v>6</v>
      </c>
      <c r="D350">
        <v>0</v>
      </c>
      <c r="E350">
        <v>0</v>
      </c>
    </row>
    <row r="351" spans="1:8" x14ac:dyDescent="0.2">
      <c r="A351">
        <v>349</v>
      </c>
      <c r="B351" t="s">
        <v>147</v>
      </c>
      <c r="C351" t="s">
        <v>10</v>
      </c>
      <c r="D351">
        <v>0</v>
      </c>
      <c r="E351">
        <v>15.790686721666599</v>
      </c>
    </row>
    <row r="352" spans="1:8" x14ac:dyDescent="0.2">
      <c r="A352">
        <v>350</v>
      </c>
      <c r="B352" t="s">
        <v>147</v>
      </c>
      <c r="C352" t="s">
        <v>14</v>
      </c>
      <c r="D352">
        <v>0.39776962255916598</v>
      </c>
      <c r="E352">
        <v>397.76962255916601</v>
      </c>
    </row>
    <row r="353" spans="1:5" x14ac:dyDescent="0.2">
      <c r="A353">
        <v>351</v>
      </c>
      <c r="B353" t="s">
        <v>100</v>
      </c>
      <c r="C353" t="s">
        <v>8</v>
      </c>
      <c r="D353">
        <v>9.9686607199042394E-3</v>
      </c>
      <c r="E353">
        <v>1.26472651512329</v>
      </c>
    </row>
    <row r="354" spans="1:5" x14ac:dyDescent="0.2">
      <c r="A354">
        <v>352</v>
      </c>
      <c r="B354" t="s">
        <v>100</v>
      </c>
      <c r="C354" t="s">
        <v>10</v>
      </c>
      <c r="D354">
        <v>0</v>
      </c>
      <c r="E354">
        <v>0</v>
      </c>
    </row>
    <row r="355" spans="1:5" x14ac:dyDescent="0.2">
      <c r="A355">
        <v>353</v>
      </c>
      <c r="B355" t="s">
        <v>100</v>
      </c>
      <c r="C355" t="s">
        <v>12</v>
      </c>
      <c r="D355">
        <v>0</v>
      </c>
      <c r="E355">
        <v>0</v>
      </c>
    </row>
    <row r="356" spans="1:5" x14ac:dyDescent="0.2">
      <c r="A356">
        <v>354</v>
      </c>
      <c r="B356" t="s">
        <v>100</v>
      </c>
      <c r="C356" t="s">
        <v>11</v>
      </c>
      <c r="D356">
        <v>0</v>
      </c>
      <c r="E356">
        <v>0</v>
      </c>
    </row>
    <row r="357" spans="1:5" x14ac:dyDescent="0.2">
      <c r="A357">
        <v>355</v>
      </c>
      <c r="B357" t="s">
        <v>100</v>
      </c>
      <c r="C357" t="s">
        <v>3</v>
      </c>
      <c r="D357">
        <v>0</v>
      </c>
      <c r="E357">
        <v>2.6626999999999899</v>
      </c>
    </row>
    <row r="358" spans="1:5" x14ac:dyDescent="0.2">
      <c r="A358">
        <v>356</v>
      </c>
      <c r="B358" t="s">
        <v>100</v>
      </c>
      <c r="C358" t="s">
        <v>4</v>
      </c>
      <c r="D358">
        <v>0</v>
      </c>
      <c r="E358">
        <v>0</v>
      </c>
    </row>
    <row r="359" spans="1:5" x14ac:dyDescent="0.2">
      <c r="A359">
        <v>357</v>
      </c>
      <c r="B359" t="s">
        <v>100</v>
      </c>
      <c r="C359" t="s">
        <v>9</v>
      </c>
      <c r="D359">
        <v>8.9999999999999998E-4</v>
      </c>
      <c r="E359">
        <v>0.09</v>
      </c>
    </row>
    <row r="360" spans="1:5" x14ac:dyDescent="0.2">
      <c r="A360">
        <v>358</v>
      </c>
      <c r="B360" t="s">
        <v>100</v>
      </c>
      <c r="C360" t="s">
        <v>7</v>
      </c>
      <c r="D360">
        <v>0</v>
      </c>
      <c r="E360">
        <v>21.5</v>
      </c>
    </row>
    <row r="361" spans="1:5" x14ac:dyDescent="0.2">
      <c r="A361">
        <v>359</v>
      </c>
      <c r="B361" t="s">
        <v>100</v>
      </c>
      <c r="C361" t="s">
        <v>14</v>
      </c>
      <c r="D361">
        <v>0</v>
      </c>
      <c r="E361">
        <v>0</v>
      </c>
    </row>
    <row r="362" spans="1:5" x14ac:dyDescent="0.2">
      <c r="A362">
        <v>360</v>
      </c>
      <c r="B362" t="s">
        <v>100</v>
      </c>
      <c r="C362" t="s">
        <v>6</v>
      </c>
      <c r="D362">
        <v>0</v>
      </c>
      <c r="E362">
        <v>0</v>
      </c>
    </row>
    <row r="363" spans="1:5" x14ac:dyDescent="0.2">
      <c r="A363">
        <v>361</v>
      </c>
      <c r="B363" t="s">
        <v>148</v>
      </c>
      <c r="C363" t="s">
        <v>10</v>
      </c>
      <c r="D363">
        <v>0</v>
      </c>
      <c r="E363">
        <v>1.6664157225912699</v>
      </c>
    </row>
    <row r="364" spans="1:5" x14ac:dyDescent="0.2">
      <c r="A364">
        <v>362</v>
      </c>
      <c r="B364" t="s">
        <v>148</v>
      </c>
      <c r="C364" t="s">
        <v>14</v>
      </c>
      <c r="D364">
        <v>4.1977246758513803E-2</v>
      </c>
      <c r="E364">
        <v>41.9772467585138</v>
      </c>
    </row>
    <row r="365" spans="1:5" x14ac:dyDescent="0.2">
      <c r="A365">
        <v>363</v>
      </c>
      <c r="B365" t="s">
        <v>149</v>
      </c>
      <c r="C365" t="s">
        <v>8</v>
      </c>
      <c r="D365">
        <v>0.64671925309952005</v>
      </c>
      <c r="E365">
        <v>92.305615216985203</v>
      </c>
    </row>
    <row r="366" spans="1:5" x14ac:dyDescent="0.2">
      <c r="A366">
        <v>364</v>
      </c>
      <c r="B366" t="s">
        <v>149</v>
      </c>
      <c r="C366" t="s">
        <v>10</v>
      </c>
      <c r="D366">
        <v>0</v>
      </c>
      <c r="E366">
        <v>87.515826330196901</v>
      </c>
    </row>
    <row r="367" spans="1:5" x14ac:dyDescent="0.2">
      <c r="A367">
        <v>365</v>
      </c>
      <c r="B367" t="s">
        <v>149</v>
      </c>
      <c r="C367" t="s">
        <v>12</v>
      </c>
      <c r="D367">
        <v>0</v>
      </c>
      <c r="E367">
        <v>0</v>
      </c>
    </row>
    <row r="368" spans="1:5" x14ac:dyDescent="0.2">
      <c r="A368">
        <v>366</v>
      </c>
      <c r="B368" t="s">
        <v>149</v>
      </c>
      <c r="C368" t="s">
        <v>11</v>
      </c>
      <c r="D368">
        <v>0</v>
      </c>
      <c r="E368">
        <v>0</v>
      </c>
    </row>
    <row r="369" spans="1:5" x14ac:dyDescent="0.2">
      <c r="A369">
        <v>367</v>
      </c>
      <c r="B369" t="s">
        <v>149</v>
      </c>
      <c r="C369" t="s">
        <v>3</v>
      </c>
      <c r="D369">
        <v>0</v>
      </c>
      <c r="E369">
        <v>1.7312299999999901</v>
      </c>
    </row>
    <row r="370" spans="1:5" x14ac:dyDescent="0.2">
      <c r="A370">
        <v>368</v>
      </c>
      <c r="B370" t="s">
        <v>149</v>
      </c>
      <c r="C370" t="s">
        <v>4</v>
      </c>
      <c r="D370">
        <v>0</v>
      </c>
      <c r="E370">
        <v>0</v>
      </c>
    </row>
    <row r="371" spans="1:5" x14ac:dyDescent="0.2">
      <c r="A371">
        <v>369</v>
      </c>
      <c r="B371" t="s">
        <v>149</v>
      </c>
      <c r="C371" t="s">
        <v>9</v>
      </c>
      <c r="D371">
        <v>1.28518E-2</v>
      </c>
      <c r="E371">
        <v>1.28518</v>
      </c>
    </row>
    <row r="372" spans="1:5" x14ac:dyDescent="0.2">
      <c r="A372">
        <v>370</v>
      </c>
      <c r="B372" t="s">
        <v>149</v>
      </c>
      <c r="C372" t="s">
        <v>7</v>
      </c>
      <c r="D372">
        <v>0</v>
      </c>
      <c r="E372">
        <v>2054.4222316793198</v>
      </c>
    </row>
    <row r="373" spans="1:5" x14ac:dyDescent="0.2">
      <c r="A373">
        <v>371</v>
      </c>
      <c r="B373" t="s">
        <v>149</v>
      </c>
      <c r="C373" t="s">
        <v>14</v>
      </c>
      <c r="D373">
        <v>0</v>
      </c>
      <c r="E373">
        <v>0</v>
      </c>
    </row>
    <row r="374" spans="1:5" x14ac:dyDescent="0.2">
      <c r="A374">
        <v>372</v>
      </c>
      <c r="B374" t="s">
        <v>149</v>
      </c>
      <c r="C374" t="s">
        <v>6</v>
      </c>
      <c r="D374">
        <v>0</v>
      </c>
      <c r="E374">
        <v>0</v>
      </c>
    </row>
    <row r="375" spans="1:5" x14ac:dyDescent="0.2">
      <c r="A375">
        <v>373</v>
      </c>
      <c r="B375" t="s">
        <v>150</v>
      </c>
      <c r="C375" t="s">
        <v>10</v>
      </c>
      <c r="D375">
        <v>0</v>
      </c>
      <c r="E375">
        <v>46.5969641698412</v>
      </c>
    </row>
    <row r="376" spans="1:5" x14ac:dyDescent="0.2">
      <c r="A376">
        <v>374</v>
      </c>
      <c r="B376" t="s">
        <v>150</v>
      </c>
      <c r="C376" t="s">
        <v>14</v>
      </c>
      <c r="D376">
        <v>1.0965614528652701</v>
      </c>
      <c r="E376">
        <v>1096.56145286527</v>
      </c>
    </row>
    <row r="377" spans="1:5" x14ac:dyDescent="0.2">
      <c r="A377">
        <v>375</v>
      </c>
      <c r="B377" t="s">
        <v>101</v>
      </c>
      <c r="C377" t="s">
        <v>8</v>
      </c>
      <c r="D377">
        <v>8.6350842178200105E-2</v>
      </c>
      <c r="E377">
        <v>14.0854541901851</v>
      </c>
    </row>
    <row r="378" spans="1:5" x14ac:dyDescent="0.2">
      <c r="A378">
        <v>376</v>
      </c>
      <c r="B378" t="s">
        <v>101</v>
      </c>
      <c r="C378" t="s">
        <v>10</v>
      </c>
      <c r="D378">
        <v>0</v>
      </c>
      <c r="E378">
        <v>72.181508366931794</v>
      </c>
    </row>
    <row r="379" spans="1:5" x14ac:dyDescent="0.2">
      <c r="A379">
        <v>377</v>
      </c>
      <c r="B379" t="s">
        <v>101</v>
      </c>
      <c r="C379" t="s">
        <v>12</v>
      </c>
      <c r="D379">
        <v>0</v>
      </c>
      <c r="E379">
        <v>0</v>
      </c>
    </row>
    <row r="380" spans="1:5" x14ac:dyDescent="0.2">
      <c r="A380">
        <v>378</v>
      </c>
      <c r="B380" t="s">
        <v>101</v>
      </c>
      <c r="C380" t="s">
        <v>11</v>
      </c>
      <c r="D380">
        <v>0</v>
      </c>
      <c r="E380">
        <v>17.777229650913199</v>
      </c>
    </row>
    <row r="381" spans="1:5" x14ac:dyDescent="0.2">
      <c r="A381">
        <v>379</v>
      </c>
      <c r="B381" t="s">
        <v>101</v>
      </c>
      <c r="C381" t="s">
        <v>3</v>
      </c>
      <c r="D381">
        <v>0</v>
      </c>
      <c r="E381">
        <v>6.4236799999999903</v>
      </c>
    </row>
    <row r="382" spans="1:5" x14ac:dyDescent="0.2">
      <c r="A382">
        <v>380</v>
      </c>
      <c r="B382" t="s">
        <v>101</v>
      </c>
      <c r="C382" t="s">
        <v>4</v>
      </c>
      <c r="D382">
        <v>0</v>
      </c>
      <c r="E382">
        <v>0</v>
      </c>
    </row>
    <row r="383" spans="1:5" x14ac:dyDescent="0.2">
      <c r="A383">
        <v>381</v>
      </c>
      <c r="B383" t="s">
        <v>101</v>
      </c>
      <c r="C383" t="s">
        <v>9</v>
      </c>
      <c r="D383">
        <v>1.2E-2</v>
      </c>
      <c r="E383">
        <v>1.2</v>
      </c>
    </row>
    <row r="384" spans="1:5" x14ac:dyDescent="0.2">
      <c r="A384">
        <v>382</v>
      </c>
      <c r="B384" t="s">
        <v>101</v>
      </c>
      <c r="C384" t="s">
        <v>7</v>
      </c>
      <c r="D384">
        <v>0</v>
      </c>
      <c r="E384">
        <v>0</v>
      </c>
    </row>
    <row r="385" spans="1:8" x14ac:dyDescent="0.2">
      <c r="A385">
        <v>383</v>
      </c>
      <c r="B385" t="s">
        <v>101</v>
      </c>
      <c r="C385" t="s">
        <v>14</v>
      </c>
      <c r="D385">
        <v>0</v>
      </c>
      <c r="E385">
        <v>0</v>
      </c>
    </row>
    <row r="386" spans="1:8" x14ac:dyDescent="0.2">
      <c r="A386">
        <v>384</v>
      </c>
      <c r="B386" t="s">
        <v>101</v>
      </c>
      <c r="C386" t="s">
        <v>6</v>
      </c>
      <c r="D386">
        <v>0</v>
      </c>
      <c r="E386">
        <v>894.65880800717605</v>
      </c>
    </row>
    <row r="387" spans="1:8" x14ac:dyDescent="0.2">
      <c r="A387">
        <v>385</v>
      </c>
      <c r="B387" t="s">
        <v>151</v>
      </c>
      <c r="C387" t="s">
        <v>10</v>
      </c>
      <c r="D387">
        <v>0</v>
      </c>
      <c r="E387">
        <v>65.207124373809506</v>
      </c>
    </row>
    <row r="388" spans="1:8" x14ac:dyDescent="0.2">
      <c r="A388">
        <v>386</v>
      </c>
      <c r="B388" t="s">
        <v>151</v>
      </c>
      <c r="C388" t="s">
        <v>14</v>
      </c>
      <c r="D388">
        <v>1.5145836615916599</v>
      </c>
      <c r="E388">
        <v>1514.5836615916601</v>
      </c>
    </row>
    <row r="389" spans="1:8" x14ac:dyDescent="0.2">
      <c r="A389">
        <v>387</v>
      </c>
      <c r="B389" t="s">
        <v>102</v>
      </c>
      <c r="C389" t="s">
        <v>8</v>
      </c>
      <c r="D389">
        <v>0</v>
      </c>
      <c r="E389">
        <v>0</v>
      </c>
    </row>
    <row r="390" spans="1:8" x14ac:dyDescent="0.2">
      <c r="A390">
        <v>388</v>
      </c>
      <c r="B390" t="s">
        <v>102</v>
      </c>
      <c r="C390" t="s">
        <v>10</v>
      </c>
      <c r="D390">
        <v>0</v>
      </c>
      <c r="E390">
        <v>47.523653383832297</v>
      </c>
    </row>
    <row r="391" spans="1:8" x14ac:dyDescent="0.2">
      <c r="A391">
        <v>389</v>
      </c>
      <c r="B391" t="s">
        <v>102</v>
      </c>
      <c r="C391" t="s">
        <v>12</v>
      </c>
      <c r="D391">
        <v>0</v>
      </c>
      <c r="E391">
        <v>0</v>
      </c>
    </row>
    <row r="392" spans="1:8" x14ac:dyDescent="0.2">
      <c r="A392">
        <v>390</v>
      </c>
      <c r="B392" t="s">
        <v>102</v>
      </c>
      <c r="C392" t="s">
        <v>11</v>
      </c>
      <c r="D392">
        <v>0</v>
      </c>
      <c r="E392">
        <v>0</v>
      </c>
    </row>
    <row r="393" spans="1:8" x14ac:dyDescent="0.2">
      <c r="A393">
        <v>391</v>
      </c>
      <c r="B393" t="s">
        <v>102</v>
      </c>
      <c r="C393" t="s">
        <v>3</v>
      </c>
      <c r="D393">
        <v>0</v>
      </c>
      <c r="E393">
        <v>77.107129999999898</v>
      </c>
    </row>
    <row r="394" spans="1:8" x14ac:dyDescent="0.2">
      <c r="A394">
        <v>392</v>
      </c>
      <c r="B394" t="s">
        <v>102</v>
      </c>
      <c r="C394" t="s">
        <v>4</v>
      </c>
      <c r="D394">
        <v>0</v>
      </c>
      <c r="E394">
        <v>0</v>
      </c>
    </row>
    <row r="395" spans="1:8" x14ac:dyDescent="0.2">
      <c r="A395">
        <v>393</v>
      </c>
      <c r="B395" t="s">
        <v>102</v>
      </c>
      <c r="C395" t="s">
        <v>13</v>
      </c>
      <c r="D395">
        <v>3.0805748333067502</v>
      </c>
      <c r="E395">
        <v>3080.57483330675</v>
      </c>
      <c r="F395">
        <f>D395/2*10^6</f>
        <v>1540287.4166533751</v>
      </c>
      <c r="H395">
        <f>D395/4*10^6</f>
        <v>770143.70832668757</v>
      </c>
    </row>
    <row r="396" spans="1:8" x14ac:dyDescent="0.2">
      <c r="A396">
        <v>394</v>
      </c>
      <c r="B396" t="s">
        <v>102</v>
      </c>
      <c r="C396" t="s">
        <v>7</v>
      </c>
      <c r="D396">
        <v>0</v>
      </c>
      <c r="E396">
        <v>602</v>
      </c>
    </row>
    <row r="397" spans="1:8" x14ac:dyDescent="0.2">
      <c r="A397">
        <v>395</v>
      </c>
      <c r="B397" t="s">
        <v>102</v>
      </c>
      <c r="C397" t="s">
        <v>14</v>
      </c>
      <c r="D397">
        <v>0</v>
      </c>
      <c r="E397">
        <v>0</v>
      </c>
    </row>
    <row r="398" spans="1:8" x14ac:dyDescent="0.2">
      <c r="A398">
        <v>396</v>
      </c>
      <c r="B398" t="s">
        <v>102</v>
      </c>
      <c r="C398" t="s">
        <v>6</v>
      </c>
      <c r="D398">
        <v>0</v>
      </c>
      <c r="E398">
        <v>87.333999989999995</v>
      </c>
    </row>
    <row r="399" spans="1:8" x14ac:dyDescent="0.2">
      <c r="A399">
        <v>397</v>
      </c>
      <c r="B399" t="s">
        <v>152</v>
      </c>
      <c r="C399" t="s">
        <v>10</v>
      </c>
      <c r="D399">
        <v>0</v>
      </c>
      <c r="E399">
        <v>62.524660633791598</v>
      </c>
    </row>
    <row r="400" spans="1:8" x14ac:dyDescent="0.2">
      <c r="A400">
        <v>398</v>
      </c>
      <c r="B400" t="s">
        <v>152</v>
      </c>
      <c r="C400" t="s">
        <v>13</v>
      </c>
      <c r="D400">
        <v>6.1647106813487902</v>
      </c>
      <c r="E400">
        <v>6164.7106813487899</v>
      </c>
      <c r="F400">
        <f>D400/2*10^6</f>
        <v>3082355.3406743952</v>
      </c>
      <c r="H400">
        <f>D400/4*10^6</f>
        <v>1541177.6703371976</v>
      </c>
    </row>
    <row r="401" spans="1:5" x14ac:dyDescent="0.2">
      <c r="A401">
        <v>399</v>
      </c>
      <c r="B401" t="s">
        <v>152</v>
      </c>
      <c r="C401" t="s">
        <v>14</v>
      </c>
      <c r="D401">
        <v>0</v>
      </c>
      <c r="E401">
        <v>0</v>
      </c>
    </row>
    <row r="402" spans="1:5" x14ac:dyDescent="0.2">
      <c r="A402">
        <v>400</v>
      </c>
      <c r="B402" t="s">
        <v>103</v>
      </c>
      <c r="C402" t="s">
        <v>8</v>
      </c>
      <c r="D402">
        <v>0</v>
      </c>
      <c r="E402">
        <v>0</v>
      </c>
    </row>
    <row r="403" spans="1:5" x14ac:dyDescent="0.2">
      <c r="A403">
        <v>401</v>
      </c>
      <c r="B403" t="s">
        <v>103</v>
      </c>
      <c r="C403" t="s">
        <v>10</v>
      </c>
      <c r="D403">
        <v>0</v>
      </c>
      <c r="E403">
        <v>0</v>
      </c>
    </row>
    <row r="404" spans="1:5" x14ac:dyDescent="0.2">
      <c r="A404">
        <v>402</v>
      </c>
      <c r="B404" t="s">
        <v>103</v>
      </c>
      <c r="C404" t="s">
        <v>12</v>
      </c>
      <c r="D404">
        <v>0</v>
      </c>
      <c r="E404">
        <v>0</v>
      </c>
    </row>
    <row r="405" spans="1:5" x14ac:dyDescent="0.2">
      <c r="A405">
        <v>403</v>
      </c>
      <c r="B405" t="s">
        <v>103</v>
      </c>
      <c r="C405" t="s">
        <v>11</v>
      </c>
      <c r="D405">
        <v>0</v>
      </c>
      <c r="E405">
        <v>142.59087325788201</v>
      </c>
    </row>
    <row r="406" spans="1:5" x14ac:dyDescent="0.2">
      <c r="A406">
        <v>404</v>
      </c>
      <c r="B406" t="s">
        <v>103</v>
      </c>
      <c r="C406" t="s">
        <v>3</v>
      </c>
      <c r="D406">
        <v>0</v>
      </c>
      <c r="E406">
        <v>10.404669999999999</v>
      </c>
    </row>
    <row r="407" spans="1:5" x14ac:dyDescent="0.2">
      <c r="A407">
        <v>405</v>
      </c>
      <c r="B407" t="s">
        <v>103</v>
      </c>
      <c r="C407" t="s">
        <v>4</v>
      </c>
      <c r="D407">
        <v>0</v>
      </c>
      <c r="E407">
        <v>0</v>
      </c>
    </row>
    <row r="408" spans="1:5" x14ac:dyDescent="0.2">
      <c r="A408">
        <v>406</v>
      </c>
      <c r="B408" t="s">
        <v>103</v>
      </c>
      <c r="C408" t="s">
        <v>5</v>
      </c>
      <c r="D408">
        <v>0</v>
      </c>
      <c r="E408">
        <v>230.72593599999999</v>
      </c>
    </row>
    <row r="409" spans="1:5" x14ac:dyDescent="0.2">
      <c r="A409">
        <v>407</v>
      </c>
      <c r="B409" t="s">
        <v>103</v>
      </c>
      <c r="C409" t="s">
        <v>9</v>
      </c>
      <c r="D409">
        <v>7.3225899999999997E-2</v>
      </c>
      <c r="E409">
        <v>7.3225899999999999</v>
      </c>
    </row>
    <row r="410" spans="1:5" x14ac:dyDescent="0.2">
      <c r="A410">
        <v>408</v>
      </c>
      <c r="B410" t="s">
        <v>103</v>
      </c>
      <c r="C410" t="s">
        <v>7</v>
      </c>
      <c r="D410">
        <v>0</v>
      </c>
      <c r="E410">
        <v>131.19999999999999</v>
      </c>
    </row>
    <row r="411" spans="1:5" x14ac:dyDescent="0.2">
      <c r="A411">
        <v>409</v>
      </c>
      <c r="B411" t="s">
        <v>103</v>
      </c>
      <c r="C411" t="s">
        <v>14</v>
      </c>
      <c r="D411">
        <v>0</v>
      </c>
      <c r="E411">
        <v>0</v>
      </c>
    </row>
    <row r="412" spans="1:5" x14ac:dyDescent="0.2">
      <c r="A412">
        <v>410</v>
      </c>
      <c r="B412" t="s">
        <v>103</v>
      </c>
      <c r="C412" t="s">
        <v>6</v>
      </c>
      <c r="D412">
        <v>0</v>
      </c>
      <c r="E412">
        <v>24.544</v>
      </c>
    </row>
    <row r="413" spans="1:5" x14ac:dyDescent="0.2">
      <c r="A413">
        <v>411</v>
      </c>
      <c r="B413" t="s">
        <v>153</v>
      </c>
      <c r="C413" t="s">
        <v>10</v>
      </c>
      <c r="D413">
        <v>0</v>
      </c>
      <c r="E413">
        <v>74.294372927757905</v>
      </c>
    </row>
    <row r="414" spans="1:5" x14ac:dyDescent="0.2">
      <c r="A414">
        <v>412</v>
      </c>
      <c r="B414" t="s">
        <v>153</v>
      </c>
      <c r="C414" t="s">
        <v>14</v>
      </c>
      <c r="D414">
        <v>1.8599206945984299</v>
      </c>
      <c r="E414">
        <v>1859.9206945984299</v>
      </c>
    </row>
    <row r="417" spans="4:4" x14ac:dyDescent="0.2">
      <c r="D417">
        <f>SUM(D2:D414)</f>
        <v>719.38853137126591</v>
      </c>
    </row>
  </sheetData>
  <autoFilter ref="A1:E415" xr:uid="{0C82F027-884F-254D-9F44-5E9D9DD75E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2</vt:lpstr>
      <vt:lpstr>Figure 1</vt:lpstr>
      <vt:lpstr>Figure 4</vt:lpstr>
      <vt:lpstr>Figuire 3</vt:lpstr>
      <vt:lpstr>hydrogen storage</vt:lpstr>
      <vt:lpstr>decouple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2024-04-16T21:27:18Z</dcterms:created>
  <dcterms:modified xsi:type="dcterms:W3CDTF">2025-09-29T00:07:19Z</dcterms:modified>
</cp:coreProperties>
</file>