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Hydrogen/"/>
    </mc:Choice>
  </mc:AlternateContent>
  <xr:revisionPtr revIDLastSave="0" documentId="13_ncr:1_{DF164C79-3E4A-1742-94B4-D40CBC6C24F4}" xr6:coauthVersionLast="47" xr6:coauthVersionMax="47" xr10:uidLastSave="{00000000-0000-0000-0000-000000000000}"/>
  <bookViews>
    <workbookView xWindow="17680" yWindow="2980" windowWidth="28040" windowHeight="17440" xr2:uid="{056F638F-63DC-8646-81BC-ABE727AF6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1" l="1"/>
  <c r="Z14" i="1"/>
  <c r="B33" i="1"/>
  <c r="W14" i="1"/>
  <c r="B17" i="1"/>
  <c r="Y4" i="1"/>
  <c r="Y5" i="1"/>
  <c r="Y6" i="1"/>
  <c r="Y7" i="1"/>
  <c r="Y8" i="1"/>
  <c r="Y9" i="1"/>
  <c r="Y10" i="1"/>
  <c r="Y11" i="1"/>
  <c r="Y14" i="1"/>
  <c r="V14" i="1"/>
  <c r="S14" i="1"/>
  <c r="J14" i="1"/>
  <c r="K14" i="1"/>
  <c r="L14" i="1"/>
  <c r="M14" i="1"/>
  <c r="N14" i="1"/>
  <c r="O14" i="1"/>
  <c r="P14" i="1"/>
  <c r="Q14" i="1"/>
  <c r="R14" i="1"/>
  <c r="T14" i="1"/>
  <c r="U14" i="1"/>
  <c r="X14" i="1"/>
  <c r="I14" i="1"/>
  <c r="B11" i="1" l="1"/>
  <c r="B21" i="1" l="1"/>
  <c r="B28" i="1" s="1"/>
  <c r="B27" i="1" l="1"/>
  <c r="B29" i="1" s="1"/>
  <c r="B14" i="1"/>
  <c r="B8" i="1"/>
  <c r="D3" i="1"/>
  <c r="E3" i="1" s="1"/>
  <c r="F3" i="1" s="1"/>
  <c r="B5" i="1" s="1"/>
</calcChain>
</file>

<file path=xl/sharedStrings.xml><?xml version="1.0" encoding="utf-8"?>
<sst xmlns="http://schemas.openxmlformats.org/spreadsheetml/2006/main" count="46" uniqueCount="42">
  <si>
    <t>capital cost</t>
  </si>
  <si>
    <t>unit</t>
  </si>
  <si>
    <t>tonne per day</t>
  </si>
  <si>
    <t>kg/hour</t>
  </si>
  <si>
    <t>MWh per hour</t>
  </si>
  <si>
    <t>MW</t>
  </si>
  <si>
    <t>$/MW</t>
  </si>
  <si>
    <t>NH3 cracking</t>
  </si>
  <si>
    <t>NH3</t>
  </si>
  <si>
    <t>OM</t>
  </si>
  <si>
    <t>transmission</t>
  </si>
  <si>
    <t>storage</t>
  </si>
  <si>
    <t>$/kwh</t>
  </si>
  <si>
    <t>lifetime</t>
  </si>
  <si>
    <t>R</t>
  </si>
  <si>
    <t>PEMC</t>
  </si>
  <si>
    <t>scenario</t>
  </si>
  <si>
    <t>Battery</t>
  </si>
  <si>
    <t>Coal</t>
  </si>
  <si>
    <t>Gas</t>
  </si>
  <si>
    <t>Grid</t>
  </si>
  <si>
    <t>Hydro</t>
  </si>
  <si>
    <t>Nuclear</t>
  </si>
  <si>
    <t>Offshore_Wind</t>
  </si>
  <si>
    <t>Pumped_hydro</t>
  </si>
  <si>
    <t>Solar</t>
  </si>
  <si>
    <t>Wind</t>
  </si>
  <si>
    <t>Electrolyzer</t>
  </si>
  <si>
    <t>Fuel_cell</t>
  </si>
  <si>
    <t>H2_turbine</t>
  </si>
  <si>
    <t>Pipeline</t>
  </si>
  <si>
    <t>Salt_cavern</t>
  </si>
  <si>
    <t>Tank</t>
  </si>
  <si>
    <t>REF_1period_36day</t>
  </si>
  <si>
    <t>Hydrogen_REF_1period_36day</t>
  </si>
  <si>
    <t>700ppm_1period_36day</t>
  </si>
  <si>
    <t>Hydrogen_700ppm_1period_36day</t>
  </si>
  <si>
    <t>550ppm_1period_36day</t>
  </si>
  <si>
    <t>Hydrogen_550ppm_1period_36day</t>
  </si>
  <si>
    <t>400ppm_1period_36day</t>
  </si>
  <si>
    <t>Hydrogen_400ppm_1period_36day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</si>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</sst>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E15B-DFF3-5D46-8340-AE4518FD504C}">
  <dimension ref="A2:AA33"/>
  <sheetViews>
    <sheetView tabSelected="1" topLeftCell="K1" workbookViewId="0">
      <selection activeCell="AA15" sqref="AA15"/>
    </sheetView>
  </sheetViews>
  <sheetFormatPr baseColWidth="10" defaultRowHeight="16" x14ac:dyDescent="0.2"/>
  <sheetData>
    <row r="2" spans="1:27" x14ac:dyDescent="0.2">
      <c r="A2" t="s">
        <v>7</v>
      </c>
      <c r="B2" t="s">
        <v>0</v>
      </c>
      <c r="C2" t="s">
        <v>1</v>
      </c>
      <c r="D2" t="s">
        <v>3</v>
      </c>
      <c r="E2" t="s">
        <v>4</v>
      </c>
      <c r="F2" t="s">
        <v>5</v>
      </c>
    </row>
    <row r="3" spans="1:27" x14ac:dyDescent="0.2">
      <c r="B3">
        <v>405000</v>
      </c>
      <c r="C3" t="s">
        <v>2</v>
      </c>
      <c r="D3">
        <f>1000/24</f>
        <v>41.666666666666664</v>
      </c>
      <c r="E3">
        <f>D3*5.2/1000</f>
        <v>0.21666666666666665</v>
      </c>
      <c r="F3">
        <f>E3</f>
        <v>0.21666666666666665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24</v>
      </c>
      <c r="Q3" t="s">
        <v>25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  <c r="X3" t="s">
        <v>32</v>
      </c>
    </row>
    <row r="4" spans="1:27" x14ac:dyDescent="0.2">
      <c r="H4" t="s">
        <v>33</v>
      </c>
      <c r="I4">
        <v>1.21915082714388</v>
      </c>
      <c r="J4">
        <v>13.107161753668599</v>
      </c>
      <c r="K4">
        <v>12.056935706060401</v>
      </c>
      <c r="L4">
        <v>2.28652738359862</v>
      </c>
      <c r="M4">
        <v>1.13978422169754</v>
      </c>
      <c r="N4">
        <v>2.90840855552289</v>
      </c>
      <c r="O4">
        <v>2.1480384682024298</v>
      </c>
      <c r="P4">
        <v>0.11409514633288</v>
      </c>
      <c r="Q4">
        <v>7.8159332032251001</v>
      </c>
      <c r="R4">
        <v>5.5028067891854304</v>
      </c>
      <c r="Y4">
        <f t="shared" ref="Y4:Y10" si="0">SUM(I4:X4)</f>
        <v>48.298842054637767</v>
      </c>
    </row>
    <row r="5" spans="1:27" x14ac:dyDescent="0.2">
      <c r="A5" t="s">
        <v>0</v>
      </c>
      <c r="B5">
        <f>B3/F3</f>
        <v>1869230.7692307695</v>
      </c>
      <c r="C5" t="s">
        <v>6</v>
      </c>
      <c r="H5" t="s">
        <v>34</v>
      </c>
      <c r="I5">
        <v>1.1717675917305601</v>
      </c>
      <c r="J5">
        <v>13.1000945466375</v>
      </c>
      <c r="K5">
        <v>11.851004477484899</v>
      </c>
      <c r="L5">
        <v>2.2632375960543101</v>
      </c>
      <c r="M5">
        <v>1.13978422169754</v>
      </c>
      <c r="N5">
        <v>2.9084575632318499</v>
      </c>
      <c r="O5">
        <v>2.15499127482604</v>
      </c>
      <c r="P5">
        <v>0.114092339431226</v>
      </c>
      <c r="Q5">
        <v>7.89477751804609</v>
      </c>
      <c r="R5">
        <v>5.5094399079490204</v>
      </c>
      <c r="S5">
        <v>9.3006597532980906E-2</v>
      </c>
      <c r="T5">
        <v>0</v>
      </c>
      <c r="U5">
        <v>5.60986772366368E-2</v>
      </c>
      <c r="V5">
        <v>1.1661039892286101E-2</v>
      </c>
      <c r="W5">
        <v>2.4959255920612201E-2</v>
      </c>
      <c r="X5">
        <v>0</v>
      </c>
      <c r="Y5">
        <f t="shared" si="0"/>
        <v>48.293372607671557</v>
      </c>
    </row>
    <row r="6" spans="1:27" x14ac:dyDescent="0.2">
      <c r="H6" t="s">
        <v>35</v>
      </c>
      <c r="I6">
        <v>12.0236260404882</v>
      </c>
      <c r="J6">
        <v>4.5710522515251899</v>
      </c>
      <c r="K6">
        <v>6.3041318481828696</v>
      </c>
      <c r="L6">
        <v>3.8999431873332</v>
      </c>
      <c r="M6">
        <v>1.13978422169754</v>
      </c>
      <c r="N6">
        <v>2.9081377302548299</v>
      </c>
      <c r="O6">
        <v>4.6034195150705104</v>
      </c>
      <c r="P6">
        <v>0.111658249817967</v>
      </c>
      <c r="Q6">
        <v>14.5462733903551</v>
      </c>
      <c r="R6">
        <v>9.3744439924196499</v>
      </c>
      <c r="Y6">
        <f t="shared" si="0"/>
        <v>59.482470427145053</v>
      </c>
    </row>
    <row r="7" spans="1:27" x14ac:dyDescent="0.2">
      <c r="H7" t="s">
        <v>36</v>
      </c>
      <c r="I7">
        <v>8.5786996930284101</v>
      </c>
      <c r="J7">
        <v>5.4251854477115504</v>
      </c>
      <c r="K7">
        <v>3.05287620162387</v>
      </c>
      <c r="L7">
        <v>3.5704948106412902</v>
      </c>
      <c r="M7">
        <v>1.13978422169754</v>
      </c>
      <c r="N7">
        <v>2.9083970486103001</v>
      </c>
      <c r="O7">
        <v>5.5842071807535101</v>
      </c>
      <c r="P7">
        <v>0.11369361408675301</v>
      </c>
      <c r="Q7">
        <v>14.578601938244301</v>
      </c>
      <c r="R7">
        <v>8.64787971930118</v>
      </c>
      <c r="S7">
        <v>1.94685175586671</v>
      </c>
      <c r="T7">
        <v>0.27345713268321198</v>
      </c>
      <c r="U7">
        <v>1.0362172230525299</v>
      </c>
      <c r="V7">
        <v>0.30536739836816901</v>
      </c>
      <c r="W7">
        <v>0.68625261855838304</v>
      </c>
      <c r="X7">
        <v>0</v>
      </c>
      <c r="Y7">
        <f t="shared" si="0"/>
        <v>57.847966004227715</v>
      </c>
    </row>
    <row r="8" spans="1:27" x14ac:dyDescent="0.2">
      <c r="A8" t="s">
        <v>8</v>
      </c>
      <c r="B8">
        <f>1.6*10^6</f>
        <v>1600000</v>
      </c>
      <c r="C8" t="s">
        <v>6</v>
      </c>
      <c r="H8" t="s">
        <v>37</v>
      </c>
      <c r="I8">
        <v>13.733568925313</v>
      </c>
      <c r="J8">
        <v>0.48835323072147802</v>
      </c>
      <c r="K8">
        <v>11.8860262765828</v>
      </c>
      <c r="L8">
        <v>3.6525597788105402</v>
      </c>
      <c r="M8">
        <v>1.13978422169754</v>
      </c>
      <c r="N8">
        <v>2.9083698145531902</v>
      </c>
      <c r="O8">
        <v>5.7519025555946603</v>
      </c>
      <c r="P8">
        <v>0.11099890588323701</v>
      </c>
      <c r="Q8">
        <v>15.145477787140001</v>
      </c>
      <c r="R8">
        <v>9.1882576597625008</v>
      </c>
      <c r="Y8">
        <f t="shared" si="0"/>
        <v>64.005299156058953</v>
      </c>
    </row>
    <row r="9" spans="1:27" x14ac:dyDescent="0.2">
      <c r="A9" t="s">
        <v>9</v>
      </c>
      <c r="B9">
        <v>48000</v>
      </c>
      <c r="C9" t="s">
        <v>6</v>
      </c>
      <c r="H9" t="s">
        <v>38</v>
      </c>
      <c r="I9">
        <v>9.5800156645253001</v>
      </c>
      <c r="J9">
        <v>2.6611291705482798</v>
      </c>
      <c r="K9">
        <v>4.9420902609898398</v>
      </c>
      <c r="L9">
        <v>3.5137475804848299</v>
      </c>
      <c r="M9">
        <v>1.13978422169754</v>
      </c>
      <c r="N9">
        <v>2.9083934084996401</v>
      </c>
      <c r="O9">
        <v>6.6259381988249197</v>
      </c>
      <c r="P9">
        <v>0.113616928573071</v>
      </c>
      <c r="Q9">
        <v>15.7072817906982</v>
      </c>
      <c r="R9">
        <v>8.6900898641402708</v>
      </c>
      <c r="S9">
        <v>2.3190073518530601</v>
      </c>
      <c r="T9">
        <v>0</v>
      </c>
      <c r="U9">
        <v>1.5431670315903401</v>
      </c>
      <c r="V9">
        <v>0.32230590179833402</v>
      </c>
      <c r="W9">
        <v>1.37293154812163</v>
      </c>
      <c r="X9">
        <v>0</v>
      </c>
      <c r="Y9">
        <f t="shared" si="0"/>
        <v>61.439498922345251</v>
      </c>
    </row>
    <row r="10" spans="1:27" x14ac:dyDescent="0.2">
      <c r="H10" t="s">
        <v>39</v>
      </c>
      <c r="I10">
        <v>28.704742436873602</v>
      </c>
      <c r="L10">
        <v>6.5209964523734998</v>
      </c>
      <c r="M10">
        <v>1.13978422169754</v>
      </c>
      <c r="N10">
        <v>2.9119566664644099</v>
      </c>
      <c r="O10">
        <v>10.4284914412096</v>
      </c>
      <c r="P10">
        <v>0.108186469181849</v>
      </c>
      <c r="Q10">
        <v>23.184501254564999</v>
      </c>
      <c r="R10">
        <v>10.6602355462489</v>
      </c>
      <c r="Y10">
        <f t="shared" si="0"/>
        <v>83.658894488614408</v>
      </c>
    </row>
    <row r="11" spans="1:27" x14ac:dyDescent="0.2">
      <c r="A11" t="s">
        <v>15</v>
      </c>
      <c r="B11">
        <f>1.2*10^6</f>
        <v>1200000</v>
      </c>
      <c r="H11" t="s">
        <v>40</v>
      </c>
      <c r="I11">
        <v>10.1420487854613</v>
      </c>
      <c r="L11">
        <v>3.6369757608447602</v>
      </c>
      <c r="M11">
        <v>1.13978422169754</v>
      </c>
      <c r="N11">
        <v>2.90843650153721</v>
      </c>
      <c r="O11">
        <v>10.1687093265241</v>
      </c>
      <c r="P11">
        <v>0.112381894969905</v>
      </c>
      <c r="Q11">
        <v>16.2367166294034</v>
      </c>
      <c r="R11">
        <v>10.1603808268033</v>
      </c>
      <c r="S11">
        <v>3.0651663460694198</v>
      </c>
      <c r="T11">
        <v>1.9430735043696601</v>
      </c>
      <c r="U11">
        <v>4.15488650982957</v>
      </c>
      <c r="V11">
        <v>0.44754417996976997</v>
      </c>
      <c r="W11">
        <v>5.61686853527205</v>
      </c>
      <c r="X11" s="1">
        <v>1.86368536786777E-3</v>
      </c>
      <c r="Y11">
        <f>SUM(I11:X11)</f>
        <v>69.734836708119843</v>
      </c>
    </row>
    <row r="14" spans="1:27" x14ac:dyDescent="0.2">
      <c r="A14" t="s">
        <v>10</v>
      </c>
      <c r="B14">
        <f>1/3</f>
        <v>0.33333333333333331</v>
      </c>
      <c r="H14" t="s">
        <v>8</v>
      </c>
      <c r="I14">
        <f>I11</f>
        <v>10.1420487854613</v>
      </c>
      <c r="J14">
        <f t="shared" ref="J14:X14" si="1">J11</f>
        <v>0</v>
      </c>
      <c r="K14">
        <f t="shared" si="1"/>
        <v>0</v>
      </c>
      <c r="L14">
        <f t="shared" si="1"/>
        <v>3.6369757608447602</v>
      </c>
      <c r="M14">
        <f t="shared" si="1"/>
        <v>1.13978422169754</v>
      </c>
      <c r="N14">
        <f t="shared" si="1"/>
        <v>2.90843650153721</v>
      </c>
      <c r="O14">
        <f t="shared" si="1"/>
        <v>10.1687093265241</v>
      </c>
      <c r="P14">
        <f t="shared" si="1"/>
        <v>0.112381894969905</v>
      </c>
      <c r="Q14">
        <f t="shared" si="1"/>
        <v>16.2367166294034</v>
      </c>
      <c r="R14">
        <f t="shared" si="1"/>
        <v>10.1603808268033</v>
      </c>
      <c r="S14">
        <f>S11*4</f>
        <v>12.260665384277679</v>
      </c>
      <c r="T14">
        <f t="shared" si="1"/>
        <v>1.9430735043696601</v>
      </c>
      <c r="U14">
        <f t="shared" si="1"/>
        <v>4.15488650982957</v>
      </c>
      <c r="V14">
        <f>V11/3</f>
        <v>0.14918139332325667</v>
      </c>
      <c r="W14">
        <f>W11*2/3</f>
        <v>3.7445790235146998</v>
      </c>
      <c r="X14">
        <f t="shared" si="1"/>
        <v>1.86368536786777E-3</v>
      </c>
      <c r="Y14">
        <f>SUM(I14:X14)</f>
        <v>76.75968344792426</v>
      </c>
      <c r="Z14">
        <f>Y14/Y11-1</f>
        <v>0.10073654820771161</v>
      </c>
      <c r="AA14">
        <f>Y14/Y10-1</f>
        <v>-8.2468350590373829E-2</v>
      </c>
    </row>
    <row r="15" spans="1:27" x14ac:dyDescent="0.2">
      <c r="C15" t="s">
        <v>12</v>
      </c>
    </row>
    <row r="16" spans="1:27" x14ac:dyDescent="0.2">
      <c r="A16" t="s">
        <v>11</v>
      </c>
      <c r="B16">
        <v>0.2</v>
      </c>
    </row>
    <row r="17" spans="1:2" x14ac:dyDescent="0.2">
      <c r="A17" t="s">
        <v>41</v>
      </c>
      <c r="B17">
        <f>300/1000</f>
        <v>0.3</v>
      </c>
    </row>
    <row r="19" spans="1:2" x14ac:dyDescent="0.2">
      <c r="A19" t="s">
        <v>13</v>
      </c>
      <c r="B19">
        <v>30</v>
      </c>
    </row>
    <row r="20" spans="1:2" x14ac:dyDescent="0.2">
      <c r="A20" t="s">
        <v>14</v>
      </c>
      <c r="B20">
        <v>0.08</v>
      </c>
    </row>
    <row r="21" spans="1:2" x14ac:dyDescent="0.2">
      <c r="B21">
        <f>(1+B20)^B19*B20/((1+B20)^B19-1)</f>
        <v>8.8827433387272267E-2</v>
      </c>
    </row>
    <row r="27" spans="1:2" x14ac:dyDescent="0.2">
      <c r="B27">
        <f>B21*B5</f>
        <v>166038.97163928588</v>
      </c>
    </row>
    <row r="28" spans="1:2" x14ac:dyDescent="0.2">
      <c r="B28">
        <f>B8*B21</f>
        <v>142123.89341963563</v>
      </c>
    </row>
    <row r="29" spans="1:2" x14ac:dyDescent="0.2">
      <c r="B29">
        <f>B27+B28+B9</f>
        <v>356162.86505892151</v>
      </c>
    </row>
    <row r="31" spans="1:2" x14ac:dyDescent="0.2">
      <c r="B31">
        <v>166442</v>
      </c>
    </row>
    <row r="33" spans="2:2" x14ac:dyDescent="0.2">
      <c r="B33">
        <f>SUM(B27:B29)/B31</f>
        <v>3.9913346998824997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2024-10-04T20:17:06Z</dcterms:created>
  <dcterms:modified xsi:type="dcterms:W3CDTF">2024-10-04T21:36:29Z</dcterms:modified>
</cp:coreProperties>
</file>